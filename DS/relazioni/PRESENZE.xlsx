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va\Desktop\prova app\DB\Relazioni\"/>
    </mc:Choice>
  </mc:AlternateContent>
  <xr:revisionPtr revIDLastSave="0" documentId="13_ncr:1_{9EDA0B9B-A16E-4E11-9050-A872CCD3FD1A}" xr6:coauthVersionLast="47" xr6:coauthVersionMax="47" xr10:uidLastSave="{00000000-0000-0000-0000-000000000000}"/>
  <bookViews>
    <workbookView xWindow="-108" yWindow="-108" windowWidth="23256" windowHeight="12456" activeTab="1" xr2:uid="{67470E32-8873-40F6-B157-B1D060DEB162}"/>
  </bookViews>
  <sheets>
    <sheet name="GIOCATORI" sheetId="3" r:id="rId1"/>
    <sheet name="STAFF" sheetId="4" r:id="rId2"/>
    <sheet name="Presenze" sheetId="1" r:id="rId3"/>
  </sheets>
  <externalReferences>
    <externalReference r:id="rId4"/>
  </externalReferences>
  <definedNames>
    <definedName name="DatiEsterni_1" localSheetId="0" hidden="1">GIOCATORI!$A$1:$N$81</definedName>
    <definedName name="DatiEsterni_1" localSheetId="1" hidden="1">STAFF!$A$1:$E$81</definedName>
    <definedName name="VOTI">[1]BASEDATI!$C$4:$H$4</definedName>
    <definedName name="VOTI_ESITO">[1]BASEDATI!$C$5:$H$5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82" i="3" l="1"/>
  <c r="C82" i="3"/>
  <c r="D82" i="3"/>
  <c r="E82" i="3"/>
  <c r="F82" i="3"/>
  <c r="G82" i="3"/>
  <c r="H82" i="3"/>
  <c r="I82" i="3"/>
  <c r="J82" i="3"/>
  <c r="K82" i="3"/>
  <c r="L82" i="3"/>
  <c r="N82" i="3"/>
  <c r="B82" i="4"/>
  <c r="C82" i="4"/>
  <c r="D82" i="4"/>
  <c r="E82" i="4"/>
  <c r="B22" i="1"/>
  <c r="B21" i="1"/>
  <c r="B20" i="1"/>
  <c r="B19" i="1"/>
  <c r="B16" i="1"/>
  <c r="B15" i="1"/>
  <c r="B14" i="1"/>
  <c r="B13" i="1"/>
  <c r="B12" i="1"/>
  <c r="B11" i="1"/>
  <c r="B10" i="1"/>
  <c r="B9" i="1"/>
  <c r="B8" i="1"/>
  <c r="B7" i="1"/>
  <c r="B6" i="1"/>
  <c r="B5" i="1"/>
  <c r="B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A75FBA6-1414-428F-883A-FE69FAB43024}" keepAlive="1" name="Query - Tabella15" description="Connessione alla query 'Tabella15' nella cartella di lavoro." type="5" refreshedVersion="8" background="1" saveData="1">
    <dbPr connection="Provider=Microsoft.Mashup.OleDb.1;Data Source=$Workbook$;Location=Tabella15;Extended Properties=&quot;&quot;" command="SELECT * FROM [Tabella15]"/>
  </connection>
  <connection id="2" xr16:uid="{C8F18CAB-19FF-48A8-A130-8103DA5DA078}" keepAlive="1" name="Query - Tabella2" description="Connessione alla query 'Tabella2' nella cartella di lavoro." type="5" refreshedVersion="8" background="1" saveData="1">
    <dbPr connection="Provider=Microsoft.Mashup.OleDb.1;Data Source=$Workbook$;Location=Tabella2;Extended Properties=&quot;&quot;" command="SELECT * FROM [Tabella2]"/>
  </connection>
</connections>
</file>

<file path=xl/sharedStrings.xml><?xml version="1.0" encoding="utf-8"?>
<sst xmlns="http://schemas.openxmlformats.org/spreadsheetml/2006/main" count="1667" uniqueCount="130">
  <si>
    <t>Amichevole</t>
  </si>
  <si>
    <t>annullato</t>
  </si>
  <si>
    <t>Partita</t>
  </si>
  <si>
    <t>Riposo</t>
  </si>
  <si>
    <t>amichevole</t>
  </si>
  <si>
    <t>Pausa</t>
  </si>
  <si>
    <t>elezioni</t>
  </si>
  <si>
    <t>Nome</t>
  </si>
  <si>
    <t>TOTALE</t>
  </si>
  <si>
    <t>25.8</t>
  </si>
  <si>
    <t>26.8</t>
  </si>
  <si>
    <t>27.8</t>
  </si>
  <si>
    <t>28.8</t>
  </si>
  <si>
    <t>29.8</t>
  </si>
  <si>
    <t>1.9</t>
  </si>
  <si>
    <t>2.9</t>
  </si>
  <si>
    <t>4.9</t>
  </si>
  <si>
    <t>5.9</t>
  </si>
  <si>
    <t>8.9</t>
  </si>
  <si>
    <t>10.9</t>
  </si>
  <si>
    <t>12.9</t>
  </si>
  <si>
    <t>13.9</t>
  </si>
  <si>
    <t>15.9</t>
  </si>
  <si>
    <t>17.9</t>
  </si>
  <si>
    <t>19.9</t>
  </si>
  <si>
    <t>20.9</t>
  </si>
  <si>
    <t>22.9</t>
  </si>
  <si>
    <t>24.9</t>
  </si>
  <si>
    <t>26.9</t>
  </si>
  <si>
    <t>28.9</t>
  </si>
  <si>
    <t>29.9</t>
  </si>
  <si>
    <t>01.10</t>
  </si>
  <si>
    <t>03.10</t>
  </si>
  <si>
    <t>05.10</t>
  </si>
  <si>
    <t>06.10</t>
  </si>
  <si>
    <t>08.10</t>
  </si>
  <si>
    <t>10.10</t>
  </si>
  <si>
    <t>12.10</t>
  </si>
  <si>
    <t>13.10</t>
  </si>
  <si>
    <t>15.10</t>
  </si>
  <si>
    <t>17.10</t>
  </si>
  <si>
    <t>19.10</t>
  </si>
  <si>
    <t>20.10</t>
  </si>
  <si>
    <t>22.10</t>
  </si>
  <si>
    <t>24.10</t>
  </si>
  <si>
    <t>26.10</t>
  </si>
  <si>
    <t>27.10</t>
  </si>
  <si>
    <t>29.10</t>
  </si>
  <si>
    <t>31.10</t>
  </si>
  <si>
    <t>03.11</t>
  </si>
  <si>
    <t>05.11</t>
  </si>
  <si>
    <t>07.11</t>
  </si>
  <si>
    <t>09.11</t>
  </si>
  <si>
    <t>10.11</t>
  </si>
  <si>
    <t>12.11</t>
  </si>
  <si>
    <t>14.11</t>
  </si>
  <si>
    <t>16.11</t>
  </si>
  <si>
    <t>17.11</t>
  </si>
  <si>
    <t>19.11</t>
  </si>
  <si>
    <t>21.11</t>
  </si>
  <si>
    <t>23.11</t>
  </si>
  <si>
    <t>24.11</t>
  </si>
  <si>
    <t>26.11</t>
  </si>
  <si>
    <t>28.11</t>
  </si>
  <si>
    <t>30.11</t>
  </si>
  <si>
    <t>Yousef</t>
  </si>
  <si>
    <t>X</t>
  </si>
  <si>
    <t>Rayenne</t>
  </si>
  <si>
    <t>R</t>
  </si>
  <si>
    <t>Erik L.</t>
  </si>
  <si>
    <t>Davide L.</t>
  </si>
  <si>
    <t>Lorenzo B.</t>
  </si>
  <si>
    <t>Mattia A.</t>
  </si>
  <si>
    <t>Massimo V.</t>
  </si>
  <si>
    <t>Mattia D.</t>
  </si>
  <si>
    <t>Pietro B.</t>
  </si>
  <si>
    <t>Nicola V.</t>
  </si>
  <si>
    <t>Nicolò M.</t>
  </si>
  <si>
    <t>Giammaria L.</t>
  </si>
  <si>
    <t>DUSE</t>
  </si>
  <si>
    <t>CLAUDIA</t>
  </si>
  <si>
    <t>JHONNY</t>
  </si>
  <si>
    <t>STEFANO</t>
  </si>
  <si>
    <t>01.12</t>
  </si>
  <si>
    <t>03.12</t>
  </si>
  <si>
    <t>05.12</t>
  </si>
  <si>
    <t>07.12</t>
  </si>
  <si>
    <t>08.12</t>
  </si>
  <si>
    <t>10.12</t>
  </si>
  <si>
    <t>12.12</t>
  </si>
  <si>
    <t>14.12</t>
  </si>
  <si>
    <t>15.12</t>
  </si>
  <si>
    <t>17.12</t>
  </si>
  <si>
    <t>19.12</t>
  </si>
  <si>
    <t>21.12</t>
  </si>
  <si>
    <t>22.12</t>
  </si>
  <si>
    <t>24.12</t>
  </si>
  <si>
    <t>27.12</t>
  </si>
  <si>
    <t>28.12</t>
  </si>
  <si>
    <t>29.12</t>
  </si>
  <si>
    <t>31.12</t>
  </si>
  <si>
    <t>Merc 10\12</t>
  </si>
  <si>
    <t>Lun 17\19</t>
  </si>
  <si>
    <t>Sab 10\12</t>
  </si>
  <si>
    <t>Merc 17\19</t>
  </si>
  <si>
    <t>Ven 17\19</t>
  </si>
  <si>
    <t>Palestra</t>
  </si>
  <si>
    <t>Orario</t>
  </si>
  <si>
    <t>Astoria</t>
  </si>
  <si>
    <t>Valli</t>
  </si>
  <si>
    <t>Borgo</t>
  </si>
  <si>
    <t>Trasferta</t>
  </si>
  <si>
    <t>Borgo Open</t>
  </si>
  <si>
    <t>Valli58</t>
  </si>
  <si>
    <t>Valli59</t>
  </si>
  <si>
    <t>Valli60</t>
  </si>
  <si>
    <t>Data</t>
  </si>
  <si>
    <t>11.01.26</t>
  </si>
  <si>
    <t>09.01.26</t>
  </si>
  <si>
    <t>07.01.26</t>
  </si>
  <si>
    <t>05.01.26</t>
  </si>
  <si>
    <t>04.01.26</t>
  </si>
  <si>
    <t>03.01.26</t>
  </si>
  <si>
    <t>Totale</t>
  </si>
  <si>
    <t>DATA</t>
  </si>
  <si>
    <t>Festa</t>
  </si>
  <si>
    <t>PESO</t>
  </si>
  <si>
    <t>LEO</t>
  </si>
  <si>
    <t>ALT</t>
  </si>
  <si>
    <t>Riccardo 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</si>
</sst>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ddd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1" applyNumberFormat="1" applyFont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5" fillId="2" borderId="0" xfId="0" applyFont="1" applyFill="1" applyAlignment="1">
      <alignment horizontal="center"/>
    </xf>
    <xf numFmtId="14" fontId="0" fillId="2" borderId="0" xfId="0" applyNumberFormat="1" applyFill="1" applyAlignment="1">
      <alignment horizontal="center"/>
    </xf>
    <xf numFmtId="0" fontId="6" fillId="0" borderId="0" xfId="0" applyFont="1" applyAlignment="1">
      <alignment horizontal="center"/>
    </xf>
    <xf numFmtId="0" fontId="2" fillId="0" borderId="2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5" xfId="0" applyFont="1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4" fillId="0" borderId="6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 vertical="top"/>
    </xf>
    <xf numFmtId="0" fontId="3" fillId="0" borderId="9" xfId="0" applyFont="1" applyFill="1" applyBorder="1" applyAlignment="1">
      <alignment horizontal="center"/>
    </xf>
    <xf numFmtId="0" fontId="3" fillId="0" borderId="11" xfId="0" applyFont="1" applyFill="1" applyBorder="1" applyAlignment="1">
      <alignment horizontal="center"/>
    </xf>
    <xf numFmtId="0" fontId="3" fillId="0" borderId="12" xfId="0" applyFont="1" applyFill="1" applyBorder="1" applyAlignment="1">
      <alignment horizontal="center"/>
    </xf>
    <xf numFmtId="0" fontId="3" fillId="0" borderId="13" xfId="0" applyFont="1" applyFill="1" applyBorder="1" applyAlignment="1">
      <alignment horizontal="center"/>
    </xf>
    <xf numFmtId="0" fontId="3" fillId="0" borderId="8" xfId="0" applyFont="1" applyFill="1" applyBorder="1" applyAlignment="1">
      <alignment horizontal="center"/>
    </xf>
    <xf numFmtId="164" fontId="3" fillId="0" borderId="9" xfId="0" applyNumberFormat="1" applyFont="1" applyFill="1" applyBorder="1" applyAlignment="1">
      <alignment horizontal="center"/>
    </xf>
    <xf numFmtId="0" fontId="3" fillId="0" borderId="10" xfId="0" applyFont="1" applyFill="1" applyBorder="1" applyAlignment="1">
      <alignment horizontal="center"/>
    </xf>
    <xf numFmtId="14" fontId="0" fillId="0" borderId="0" xfId="0" applyNumberFormat="1"/>
    <xf numFmtId="0" fontId="0" fillId="0" borderId="0" xfId="0" applyNumberFormat="1" applyAlignment="1">
      <alignment horizontal="center"/>
    </xf>
  </cellXfs>
  <cellStyles count="2">
    <cellStyle name="Normale" xfId="0" builtinId="0"/>
    <cellStyle name="Valuta" xfId="1" builtinId="4"/>
  </cellStyles>
  <dxfs count="20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dd/mm/yyyy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ill>
        <patternFill patternType="solid">
          <fgColor indexed="64"/>
          <bgColor theme="1" tint="0.499984740745262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ill>
        <patternFill patternType="solid">
          <fgColor indexed="64"/>
          <bgColor rgb="FFFF0000"/>
        </patternFill>
      </fill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ill>
        <patternFill>
          <fgColor indexed="64"/>
          <bgColor theme="1" tint="0.499984740745262"/>
        </patternFill>
      </fill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ill>
        <patternFill patternType="solid">
          <fgColor indexed="64"/>
          <bgColor rgb="FFFF0000"/>
        </patternFill>
      </fill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0" formatCode="General"/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9" formatCode="dd/mm/yyyy"/>
      <fill>
        <patternFill patternType="solid">
          <fgColor indexed="64"/>
          <bgColor rgb="FFFFFF00"/>
        </patternFill>
      </fill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numFmt numFmtId="19" formatCode="dd/mm/yyyy"/>
      <alignment horizont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</dxf>
    <dxf>
      <font>
        <b/>
      </font>
      <alignment horizontal="left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prova\Desktop\U15\scheda-valutazione-giocatore.xlsx" TargetMode="External"/><Relationship Id="rId1" Type="http://schemas.openxmlformats.org/officeDocument/2006/relationships/externalLinkPath" Target="/Users/prova/Desktop/U15/scheda-valutazione-giocato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esenze"/>
      <sheetName val="DE ANTONI Mattia"/>
      <sheetName val="LOFFREDA Giammaria"/>
      <sheetName val="FADIL Youssef"/>
      <sheetName val="DAIFI Rayane"/>
      <sheetName val="MANTOVAN Nicolò"/>
      <sheetName val="BOSCOLO Pietro"/>
      <sheetName val="LIVIGNALI Davide"/>
      <sheetName val="LIVIGNALI Erik"/>
      <sheetName val="VENEZIANI Riccardo"/>
      <sheetName val="VENEZIANI Nicola"/>
      <sheetName val="AVELLA Mattia"/>
      <sheetName val="VIEL Massimo"/>
      <sheetName val="BIOLCATI Lorenzo"/>
      <sheetName val="VALUTAZIONE GENERALE"/>
      <sheetName val="BASEDATI"/>
      <sheetName val="REGO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4">
          <cell r="C4" t="str">
            <v>Eccellente</v>
          </cell>
          <cell r="D4" t="str">
            <v>Ottimo</v>
          </cell>
          <cell r="E4" t="str">
            <v>Buono</v>
          </cell>
          <cell r="F4" t="str">
            <v>Sufficiente</v>
          </cell>
          <cell r="G4" t="str">
            <v>InsufficIente</v>
          </cell>
          <cell r="H4" t="str">
            <v>Scarso</v>
          </cell>
        </row>
        <row r="5">
          <cell r="C5">
            <v>90</v>
          </cell>
          <cell r="D5">
            <v>80</v>
          </cell>
          <cell r="E5">
            <v>70</v>
          </cell>
          <cell r="F5">
            <v>60</v>
          </cell>
          <cell r="G5">
            <v>50</v>
          </cell>
          <cell r="H5">
            <v>40</v>
          </cell>
        </row>
      </sheetData>
      <sheetData sheetId="16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50539609-61C7-41F1-9B6C-DE08192461FB}" autoFormatId="16" applyNumberFormats="0" applyBorderFormats="0" applyFontFormats="0" applyPatternFormats="0" applyAlignmentFormats="0" applyWidthHeightFormats="0">
  <queryTableRefresh nextId="20">
    <queryTableFields count="14">
      <queryTableField id="16" name="Data" tableColumnId="15"/>
      <queryTableField id="1" name="Yousef" tableColumnId="1"/>
      <queryTableField id="2" name="Rayenne" tableColumnId="2"/>
      <queryTableField id="3" name="Erik L." tableColumnId="3"/>
      <queryTableField id="4" name="Davide L." tableColumnId="4"/>
      <queryTableField id="5" name="Lorenzo B." tableColumnId="5"/>
      <queryTableField id="6" name="Mattia A." tableColumnId="6"/>
      <queryTableField id="7" name="Massimo V." tableColumnId="7"/>
      <queryTableField id="8" name="Mattia D." tableColumnId="8"/>
      <queryTableField id="9" name="Pietro B." tableColumnId="9"/>
      <queryTableField id="10" name="Nicola V." tableColumnId="10"/>
      <queryTableField id="11" name="Nicolò M." tableColumnId="11"/>
      <queryTableField id="18" name="Riccardo V." tableColumnId="12"/>
      <queryTableField id="13" name="Giammaria L.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2" xr16:uid="{4D971BBC-F47C-4A24-8619-12540605138F}" autoFormatId="16" applyNumberFormats="0" applyBorderFormats="0" applyFontFormats="0" applyPatternFormats="0" applyAlignmentFormats="0" applyWidthHeightFormats="0">
  <queryTableRefresh nextId="16">
    <queryTableFields count="5">
      <queryTableField id="11" name="DATA" tableColumnId="11"/>
      <queryTableField id="12" name="DUSE" tableColumnId="12"/>
      <queryTableField id="13" name="CLAUDIA" tableColumnId="13"/>
      <queryTableField id="14" name="JHONNY" tableColumnId="14"/>
      <queryTableField id="15" name="STEFANO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670D097-95BA-46E7-B4A9-2AEEE4712234}" name="Tabella15_1" displayName="Tabella15_1" ref="A1:N82" tableType="queryTable" totalsRowCount="1" totalsRowDxfId="208">
  <autoFilter ref="A1:N81" xr:uid="{B670D097-95BA-46E7-B4A9-2AEEE4712234}"/>
  <tableColumns count="14">
    <tableColumn id="15" xr3:uid="{DF4E327C-5088-4D8E-B008-1792D36ABED1}" uniqueName="15" name="Data" totalsRowLabel="Totale" queryTableFieldId="16" dataDxfId="12" totalsRowDxfId="13"/>
    <tableColumn id="1" xr3:uid="{7DD43387-935D-481F-B94E-96FA9660A9E2}" uniqueName="1" name="Yousef" totalsRowFunction="count" queryTableFieldId="1" dataDxfId="11" totalsRowDxfId="14"/>
    <tableColumn id="2" xr3:uid="{C22188C0-BE92-41FE-85D1-945BB67561B7}" uniqueName="2" name="Rayenne" totalsRowFunction="count" queryTableFieldId="2" dataDxfId="10" totalsRowDxfId="15"/>
    <tableColumn id="3" xr3:uid="{4E6EB0E4-ACB2-4369-A5DF-D325D450D15A}" uniqueName="3" name="Erik L." totalsRowFunction="count" queryTableFieldId="3" dataDxfId="9" totalsRowDxfId="16"/>
    <tableColumn id="4" xr3:uid="{6C3E0112-792E-470C-B7E7-533B95384F17}" uniqueName="4" name="Davide L." totalsRowFunction="count" queryTableFieldId="4" dataDxfId="8" totalsRowDxfId="17"/>
    <tableColumn id="5" xr3:uid="{D27595AA-408C-4C24-AA7B-B2659DC030CF}" uniqueName="5" name="Lorenzo B." totalsRowFunction="count" queryTableFieldId="5" dataDxfId="7" totalsRowDxfId="18"/>
    <tableColumn id="6" xr3:uid="{6E21F598-07B5-427D-A76C-3D4E088A1A59}" uniqueName="6" name="Mattia A." totalsRowFunction="count" queryTableFieldId="6" dataDxfId="6" totalsRowDxfId="19"/>
    <tableColumn id="7" xr3:uid="{4341DAFB-C82D-4DAD-9956-6D3D37CFFFE0}" uniqueName="7" name="Massimo V." totalsRowFunction="count" queryTableFieldId="7" dataDxfId="5" totalsRowDxfId="20"/>
    <tableColumn id="8" xr3:uid="{511C5E4B-AC1B-4662-B878-5F594691F561}" uniqueName="8" name="Mattia D." totalsRowFunction="count" queryTableFieldId="8" dataDxfId="4" totalsRowDxfId="21"/>
    <tableColumn id="9" xr3:uid="{C2C94AA5-1AA2-4367-AE64-5BCA29386CF1}" uniqueName="9" name="Pietro B." totalsRowFunction="count" queryTableFieldId="9" dataDxfId="3" totalsRowDxfId="22"/>
    <tableColumn id="10" xr3:uid="{CAC0CCED-FD03-41B5-8003-0640896FCBD9}" uniqueName="10" name="Nicola V." totalsRowFunction="count" queryTableFieldId="10" dataDxfId="2" totalsRowDxfId="23"/>
    <tableColumn id="11" xr3:uid="{147C08BE-9709-46B5-A891-6A5DA19B8A66}" uniqueName="11" name="Nicolò M." totalsRowFunction="count" queryTableFieldId="11" dataDxfId="1" totalsRowDxfId="24"/>
    <tableColumn id="12" xr3:uid="{6D50A1DE-D2E1-48D9-A2CC-279172417B2A}" uniqueName="12" name="Riccardo V." queryTableFieldId="18"/>
    <tableColumn id="13" xr3:uid="{965F1AC1-4CAB-4747-9F62-A171E69369DC}" uniqueName="13" name="Giammaria L." totalsRowFunction="count" queryTableFieldId="13" dataDxfId="0" totalsRowDxfId="2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084F6FE-F3E9-4B74-883C-613FE3B4D650}" name="Tabella2_1" displayName="Tabella2_1" ref="A1:E82" tableType="queryTable" totalsRowCount="1">
  <autoFilter ref="A1:E81" xr:uid="{2084F6FE-F3E9-4B74-883C-613FE3B4D650}"/>
  <tableColumns count="5">
    <tableColumn id="11" xr3:uid="{5637B2BD-4F96-4327-A658-31C9B6F634E7}" uniqueName="11" name="DATA" totalsRowLabel="Totale" queryTableFieldId="11" dataDxfId="30"/>
    <tableColumn id="12" xr3:uid="{B2430B54-514B-48BC-8282-125885F06B9C}" uniqueName="12" name="DUSE" totalsRowFunction="count" queryTableFieldId="12" dataDxfId="29" totalsRowDxfId="31"/>
    <tableColumn id="13" xr3:uid="{0FB2B089-A548-4605-9FC9-AFDEEBEA4996}" uniqueName="13" name="CLAUDIA" totalsRowFunction="count" queryTableFieldId="13" dataDxfId="28" totalsRowDxfId="32"/>
    <tableColumn id="14" xr3:uid="{D1551B3F-23B1-409E-933E-63587F319FA7}" uniqueName="14" name="JHONNY" totalsRowFunction="count" queryTableFieldId="14" dataDxfId="27" totalsRowDxfId="33"/>
    <tableColumn id="15" xr3:uid="{A1D07B49-6C7A-4639-BA7C-2EB8E8C7DE1C}" uniqueName="15" name="STEFANO" totalsRowFunction="count" queryTableFieldId="15" dataDxfId="26" totalsRowDxfId="3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C26F96-C64B-41EB-99B5-4E45D046FC3B}" name="Tabella15" displayName="Tabella15" ref="A3:CD16" totalsRowShown="0" headerRowDxfId="207" dataDxfId="205" headerRowBorderDxfId="206" tableBorderDxfId="204">
  <autoFilter ref="A3:CD16" xr:uid="{CD60028F-79D2-4E34-9D52-1E3ABB61A603}"/>
  <sortState xmlns:xlrd2="http://schemas.microsoft.com/office/spreadsheetml/2017/richdata2" ref="A4:AI16">
    <sortCondition ref="B3:B16"/>
  </sortState>
  <tableColumns count="82">
    <tableColumn id="1" xr3:uid="{F913198C-E4D5-4E17-A9C2-6BDBE3222820}" name="Nome" dataDxfId="203"/>
    <tableColumn id="22" xr3:uid="{6D8ED581-C285-4337-9F1D-51A1CB1F4FE9}" name="TOTALE" dataDxfId="202">
      <calculatedColumnFormula>COUNTA(Tabella15[[#This Row],[25.8]:[30.11]])</calculatedColumnFormula>
    </tableColumn>
    <tableColumn id="3" xr3:uid="{005C4876-6475-4693-B042-4310A543F296}" name="25.8" dataDxfId="201"/>
    <tableColumn id="4" xr3:uid="{EB055AC4-9B8B-4926-B0E8-BDCDEE72B79D}" name="26.8" dataDxfId="200"/>
    <tableColumn id="19" xr3:uid="{CB266CD9-2AB6-4977-B2F9-B061CE542436}" name="27.8" dataDxfId="199"/>
    <tableColumn id="5" xr3:uid="{A31B7539-8B5C-47CF-8A2F-431CF9D4A8D8}" name="28.8" dataDxfId="198"/>
    <tableColumn id="6" xr3:uid="{6167EE0B-BCB6-491A-8F45-C4EB30935B30}" name="29.8" dataDxfId="197"/>
    <tableColumn id="7" xr3:uid="{11916D95-635A-4DAE-866F-0F560F89F702}" name="1.9" dataDxfId="196"/>
    <tableColumn id="8" xr3:uid="{B89ED9B6-1F11-498C-971E-8017493F2458}" name="2.9" dataDxfId="195"/>
    <tableColumn id="9" xr3:uid="{30D14609-E1C4-46F3-8B4C-6B9D2EB781FE}" name="4.9" dataDxfId="194" dataCellStyle="Valuta"/>
    <tableColumn id="10" xr3:uid="{95DFBDC5-434C-4208-A766-88135748A4F5}" name="5.9" dataDxfId="193"/>
    <tableColumn id="11" xr3:uid="{D195DA69-BEC7-4A94-A6B2-C2A37F93D2B9}" name="8.9" dataDxfId="192"/>
    <tableColumn id="12" xr3:uid="{46A54C75-0B01-45EF-97FB-41B918274C53}" name="10.9" dataDxfId="191"/>
    <tableColumn id="13" xr3:uid="{02EA998C-6CBF-44C4-A621-42152EFDE186}" name="12.9" dataDxfId="190"/>
    <tableColumn id="21" xr3:uid="{09F53FEC-3530-47B6-AF60-B98951139ADC}" name="13.9" dataDxfId="189"/>
    <tableColumn id="14" xr3:uid="{50A027DB-62F0-47E4-9CA0-B408DFC0B058}" name="15.9" dataDxfId="188"/>
    <tableColumn id="15" xr3:uid="{901BEAC1-E164-4BE2-B9D9-976A659F9F67}" name="17.9" dataDxfId="187"/>
    <tableColumn id="2" xr3:uid="{4C32D16B-051A-4C60-851E-3A0679B89E19}" name="19.9" dataDxfId="186"/>
    <tableColumn id="23" xr3:uid="{1DC7DEAC-0836-46C3-BEF6-B4ED4CFCC54E}" name="20.9" dataDxfId="185"/>
    <tableColumn id="16" xr3:uid="{FCF1E415-7CD3-47D2-A349-7278B3E29F4F}" name="22.9" dataDxfId="184"/>
    <tableColumn id="17" xr3:uid="{58118596-7EA1-4A88-AF99-4CB48D6F0AA1}" name="24.9" dataDxfId="183"/>
    <tableColumn id="18" xr3:uid="{9925CF2E-4225-4B27-9ED8-A37B7A82541B}" name="26.9" dataDxfId="182"/>
    <tableColumn id="20" xr3:uid="{1D585DB7-8AF0-4279-B788-E38D9EDB331A}" name="28.9" dataDxfId="181"/>
    <tableColumn id="24" xr3:uid="{01846F5F-BF2C-4C36-A8D4-D889459A4666}" name="29.9" dataDxfId="180"/>
    <tableColumn id="25" xr3:uid="{F5198E0C-46FE-48AE-9A8D-66027260422E}" name="01.10" dataDxfId="179"/>
    <tableColumn id="26" xr3:uid="{3BDBA0A1-C299-4E06-992A-824F2D2D59FB}" name="03.10" dataDxfId="178"/>
    <tableColumn id="28" xr3:uid="{7EE3193C-EE4F-4DB1-AB5B-B1D3D6346946}" name="05.10" dataDxfId="177"/>
    <tableColumn id="29" xr3:uid="{B8FBEB58-08CA-48B0-B6EA-8323E1A44509}" name="06.10" dataDxfId="176"/>
    <tableColumn id="30" xr3:uid="{9AA624B5-0EAF-443E-9F6F-717BC819A359}" name="08.10" dataDxfId="175"/>
    <tableColumn id="31" xr3:uid="{0A13D10E-1C78-404C-A21D-0197ED2800F4}" name="10.10" dataDxfId="174"/>
    <tableColumn id="32" xr3:uid="{35A69AFD-215B-4EC4-9BB5-498317E30BB4}" name="12.10" dataDxfId="173"/>
    <tableColumn id="27" xr3:uid="{2F6E9369-CA6F-43E7-A544-12A8A87419B0}" name="13.10" dataDxfId="172"/>
    <tableColumn id="33" xr3:uid="{A8D63B70-90BC-494D-AA05-514129A358E1}" name="15.10" dataDxfId="171"/>
    <tableColumn id="34" xr3:uid="{23E48938-5D35-4DD9-B6B0-4317F5D1E6C1}" name="17.10" dataDxfId="170"/>
    <tableColumn id="35" xr3:uid="{D2F7CBB3-D2C7-4A56-93BD-898C3E999214}" name="19.10" dataDxfId="169"/>
    <tableColumn id="36" xr3:uid="{1E8D0F04-FB83-434C-B53B-FB97E2FCBFC0}" name="20.10" dataDxfId="168"/>
    <tableColumn id="37" xr3:uid="{5A45102D-621F-4F53-B33E-6EE43FA0211D}" name="22.10" dataDxfId="167"/>
    <tableColumn id="38" xr3:uid="{BC3A9CD7-8CDA-4922-B0F1-3125959EAB7C}" name="24.10" dataDxfId="166"/>
    <tableColumn id="39" xr3:uid="{C9548C24-6857-41B2-8389-F4564EABDE3E}" name="26.10" dataDxfId="165"/>
    <tableColumn id="40" xr3:uid="{882FEF80-5135-4158-9CD9-A01639C0A596}" name="27.10" dataDxfId="164"/>
    <tableColumn id="41" xr3:uid="{8F3B6E74-46A9-458D-BCA4-58E60B9BDE6C}" name="29.10" dataDxfId="163"/>
    <tableColumn id="42" xr3:uid="{E1D29FFA-10C9-447E-8420-50BEE6ED95EE}" name="31.10" dataDxfId="162"/>
    <tableColumn id="43" xr3:uid="{3C77CA2C-4316-4C2E-A495-29D7C75D69E4}" name="03.11" dataDxfId="161"/>
    <tableColumn id="44" xr3:uid="{FB152FD8-E4A6-4F71-8C76-FA4587A9619F}" name="05.11" dataDxfId="160"/>
    <tableColumn id="45" xr3:uid="{BDB98159-05A6-4209-80B3-19BBF5D9AA39}" name="07.11" dataDxfId="159"/>
    <tableColumn id="46" xr3:uid="{7B685C55-E70A-4346-AA63-13971959E8DE}" name="09.11" dataDxfId="158"/>
    <tableColumn id="47" xr3:uid="{369BAC5D-FAEC-416A-ADF6-9D9D5A8AB416}" name="10.11" dataDxfId="157"/>
    <tableColumn id="48" xr3:uid="{7D1A2060-DCB9-4E37-809A-E951F6B36A98}" name="12.11" dataDxfId="156"/>
    <tableColumn id="49" xr3:uid="{5A10EB82-CD4F-4672-8152-173BEA0F5387}" name="14.11" dataDxfId="155"/>
    <tableColumn id="50" xr3:uid="{787AE0AD-9D09-4518-9644-0DC523C3BDEA}" name="16.11" dataDxfId="154"/>
    <tableColumn id="51" xr3:uid="{6FC273C4-8DD3-4851-8E71-868CD1692476}" name="17.11" dataDxfId="153"/>
    <tableColumn id="52" xr3:uid="{22067698-3900-47D4-A79B-743B14E67548}" name="19.11" dataDxfId="152"/>
    <tableColumn id="53" xr3:uid="{DFFBDB27-67BF-48D1-B683-3EE2DBA66574}" name="21.11" dataDxfId="151"/>
    <tableColumn id="54" xr3:uid="{0401775F-FC6A-4295-8DDE-76D0C3093717}" name="23.11" dataDxfId="150"/>
    <tableColumn id="55" xr3:uid="{9219BF52-A90F-49D1-9044-E75B89747794}" name="24.11" dataDxfId="149"/>
    <tableColumn id="56" xr3:uid="{D544FF57-7429-43A6-A792-01DDDBE6FD28}" name="26.11" dataDxfId="148"/>
    <tableColumn id="57" xr3:uid="{E0BD2A13-3F17-4E00-976F-465F251A6565}" name="28.11" dataDxfId="147"/>
    <tableColumn id="58" xr3:uid="{D759AD8B-F4C6-4EF2-AA8E-B0CE515A2244}" name="30.11" dataDxfId="146"/>
    <tableColumn id="59" xr3:uid="{585E5B58-190C-422F-A909-9630625147C4}" name="01.12" dataDxfId="145"/>
    <tableColumn id="60" xr3:uid="{2BA91CA0-E864-43F2-9102-2C0B5E8D8F39}" name="03.12" dataDxfId="144"/>
    <tableColumn id="61" xr3:uid="{A8594037-3F44-4D6D-8059-DC3A4AF8E3E7}" name="05.12" dataDxfId="143"/>
    <tableColumn id="62" xr3:uid="{32C70228-6751-40BF-957A-824F21837A72}" name="07.12" dataDxfId="142"/>
    <tableColumn id="63" xr3:uid="{AAC9724A-0A12-4C9C-9E18-FECE3E1A5BF2}" name="08.12" dataDxfId="141"/>
    <tableColumn id="64" xr3:uid="{EDC19305-A65E-4172-A1EF-AEE6406E7D25}" name="10.12" dataDxfId="140"/>
    <tableColumn id="65" xr3:uid="{4A1A365B-FC11-44F4-9DF8-429E033011FC}" name="12.12" dataDxfId="139"/>
    <tableColumn id="66" xr3:uid="{5DDAAEA4-B23A-48B3-B65E-496EED3B508C}" name="14.12" dataDxfId="138"/>
    <tableColumn id="67" xr3:uid="{4FBF28AD-13B8-4495-8E29-BE2D006355FB}" name="15.12" dataDxfId="137"/>
    <tableColumn id="68" xr3:uid="{63411CD9-6AB2-4EA5-A173-516B229964FE}" name="17.12" dataDxfId="136"/>
    <tableColumn id="69" xr3:uid="{633EA9AB-368C-40C2-83AB-45BE45516DF1}" name="19.12" dataDxfId="135"/>
    <tableColumn id="70" xr3:uid="{A59C49A4-7EB6-4D7F-81D5-ADC73D3D1740}" name="21.12" dataDxfId="134"/>
    <tableColumn id="71" xr3:uid="{59234B02-5A35-44F2-AAB1-E6E522AF6151}" name="22.12" dataDxfId="133"/>
    <tableColumn id="72" xr3:uid="{A0786451-2D54-496E-B89C-3C9CD86BBD92}" name="24.12" dataDxfId="132"/>
    <tableColumn id="73" xr3:uid="{F39E6842-7C15-432E-9F90-0FB4A0A60DC6}" name="27.12" dataDxfId="131"/>
    <tableColumn id="74" xr3:uid="{A8A39383-E7BC-4FE8-9DF8-758097A5C27A}" name="28.12" dataDxfId="130"/>
    <tableColumn id="75" xr3:uid="{004FC7AC-7B45-4A06-95A2-729AFEF456E0}" name="29.12" dataDxfId="129"/>
    <tableColumn id="76" xr3:uid="{BFAA03EC-D53F-430D-B686-B94DA49A3C95}" name="31.12" dataDxfId="128"/>
    <tableColumn id="77" xr3:uid="{F5648FDA-6DE9-4A5A-A6B5-003FD4866F27}" name="03.01.26" dataDxfId="127"/>
    <tableColumn id="78" xr3:uid="{91FE25AE-4D99-4F20-8F52-1C8282027C77}" name="04.01.26" dataDxfId="126"/>
    <tableColumn id="79" xr3:uid="{4FA6311F-A33B-43F2-8C8D-F0396FB34568}" name="05.01.26" dataDxfId="125"/>
    <tableColumn id="80" xr3:uid="{DD450420-F81C-45BE-B803-302DAE1ADD65}" name="07.01.26" dataDxfId="124"/>
    <tableColumn id="81" xr3:uid="{AD962B16-6455-429C-9805-C951CA5F1F27}" name="09.01.26" dataDxfId="123"/>
    <tableColumn id="82" xr3:uid="{E683FC5C-35BC-4B20-A891-D9315B982DD8}" name="11.01.26" dataDxfId="122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5733FD1-8556-40E8-A0E5-8B5C1270EF11}" name="Tabella2" displayName="Tabella2" ref="A18:CD22" totalsRowShown="0" headerRowDxfId="121" dataDxfId="119" headerRowBorderDxfId="120" tableBorderDxfId="118" totalsRowBorderDxfId="117">
  <autoFilter ref="A18:CD22" xr:uid="{6E66145E-74B7-4FF5-A690-B0DE2AC51366}"/>
  <tableColumns count="82">
    <tableColumn id="1" xr3:uid="{C2C3E7C7-BC7E-460E-8EE3-91442412EF3E}" name="Nome" dataDxfId="116"/>
    <tableColumn id="2" xr3:uid="{8DC48412-D20D-4959-A66D-8153EBD925C9}" name="TOTALE" dataDxfId="115">
      <calculatedColumnFormula>COUNTA(Tabella2[[#This Row],[25.8]:[30.11]])</calculatedColumnFormula>
    </tableColumn>
    <tableColumn id="3" xr3:uid="{35F86DD9-0935-442E-A55A-B85D29FF3B44}" name="25.8" dataDxfId="114"/>
    <tableColumn id="4" xr3:uid="{084E52A3-DB6B-479D-880A-A20942DCEC44}" name="26.8" dataDxfId="113"/>
    <tableColumn id="5" xr3:uid="{524202C5-80B1-4D35-B497-B50A4F15883A}" name="27.8" dataDxfId="112"/>
    <tableColumn id="6" xr3:uid="{C3134BBF-29EA-4025-AFE3-4809DB04969A}" name="28.8" dataDxfId="111"/>
    <tableColumn id="7" xr3:uid="{134EA68C-0A43-4AB9-A28F-0E1F73A7955E}" name="29.8" dataDxfId="110"/>
    <tableColumn id="8" xr3:uid="{9C716DC6-7773-4438-A0E0-636F5314EF0C}" name="1.9" dataDxfId="109"/>
    <tableColumn id="9" xr3:uid="{C55A53A9-BACA-4C3F-9877-9940AB2ED920}" name="2.9" dataDxfId="108"/>
    <tableColumn id="10" xr3:uid="{5604504E-E45C-4A3D-B20E-9BF6A97FC5EA}" name="4.9" dataDxfId="107"/>
    <tableColumn id="11" xr3:uid="{28B97ECB-CB95-442C-8C78-963F72D114A1}" name="5.9" dataDxfId="106"/>
    <tableColumn id="12" xr3:uid="{3040E979-1ACB-4604-8633-13F7BF5F7C66}" name="8.9" dataDxfId="105"/>
    <tableColumn id="13" xr3:uid="{7B4DECF5-473A-477E-8429-17934DDC9421}" name="10.9" dataDxfId="104"/>
    <tableColumn id="14" xr3:uid="{B2905D9F-1FEA-4F31-9050-2DC9C8FB7996}" name="12.9" dataDxfId="103"/>
    <tableColumn id="15" xr3:uid="{D6BBA1A1-1791-4F23-8AD3-AB7F295AD4A0}" name="13.9" dataDxfId="102"/>
    <tableColumn id="16" xr3:uid="{64CFC892-AB64-4F32-8328-16EC4511F41E}" name="15.9" dataDxfId="101"/>
    <tableColumn id="17" xr3:uid="{D2CD6A76-B45F-410D-AD71-F824A5B65582}" name="17.9" dataDxfId="100"/>
    <tableColumn id="18" xr3:uid="{0D114BFF-4570-40F5-BC46-43F34890A59A}" name="19.9" dataDxfId="99"/>
    <tableColumn id="19" xr3:uid="{3B8DFD37-7DD4-4D02-939F-7577CCCC53C7}" name="20.9" dataDxfId="98"/>
    <tableColumn id="20" xr3:uid="{C60894A3-89D8-443E-8FA3-472F630A82A8}" name="22.9" dataDxfId="97"/>
    <tableColumn id="21" xr3:uid="{B9597B4C-517F-4346-AA1A-D53DEEAB7937}" name="24.9" dataDxfId="96"/>
    <tableColumn id="22" xr3:uid="{6C058502-3BA2-4AA9-83CD-4A73C2A6C9AC}" name="26.9" dataDxfId="95"/>
    <tableColumn id="23" xr3:uid="{9C4FCABA-DB5E-4513-885F-3C1470C8FC97}" name="28.9" dataDxfId="94"/>
    <tableColumn id="24" xr3:uid="{7F0317E1-3C87-44FB-BDB6-56C7E0E97D06}" name="29.9" dataDxfId="93"/>
    <tableColumn id="25" xr3:uid="{E7BCB717-11CB-4A0B-ACCA-856B34CB88A9}" name="01.10" dataDxfId="92"/>
    <tableColumn id="26" xr3:uid="{FFE990F7-A48C-4765-94BA-4A1E047922EE}" name="03.10" dataDxfId="91"/>
    <tableColumn id="27" xr3:uid="{DE2D1DCC-FEA0-447B-A1CC-9FCE7FBF9FCA}" name="05.10" dataDxfId="90"/>
    <tableColumn id="28" xr3:uid="{AC9A9427-2503-436D-92C2-6996C22C5883}" name="06.10" dataDxfId="89"/>
    <tableColumn id="29" xr3:uid="{2E28A4AA-0CF3-46C9-8A19-C223C07FA041}" name="08.10" dataDxfId="88"/>
    <tableColumn id="30" xr3:uid="{D3FFE80E-09C2-41D5-81B5-0FF5C8EAC433}" name="10.10" dataDxfId="87"/>
    <tableColumn id="31" xr3:uid="{DC59C519-A0E9-406E-BB8C-BB6BBE6DDB49}" name="12.10" dataDxfId="86"/>
    <tableColumn id="32" xr3:uid="{9EB3309C-3C33-41D4-A25A-CBB3F3E5D5DA}" name="13.10" dataDxfId="85"/>
    <tableColumn id="33" xr3:uid="{A91D49D4-8428-45E8-9C11-8FC3FFBAEA89}" name="15.10" dataDxfId="84"/>
    <tableColumn id="34" xr3:uid="{520D2F7F-9BDD-4D2E-9DAA-881347DF9532}" name="17.10" dataDxfId="83"/>
    <tableColumn id="35" xr3:uid="{54B35F31-734C-4C19-8F31-9477C13F4226}" name="19.10" dataDxfId="82"/>
    <tableColumn id="36" xr3:uid="{369B0822-732B-4C6A-BD43-721453064B3C}" name="20.10" dataDxfId="81"/>
    <tableColumn id="37" xr3:uid="{5E3872D2-8198-4D5C-BCD5-AE14FC0D5E81}" name="22.10" dataDxfId="80"/>
    <tableColumn id="38" xr3:uid="{E8BB2E4D-0249-4489-B8FC-9B8470DCBFC7}" name="24.10" dataDxfId="79"/>
    <tableColumn id="39" xr3:uid="{8574D0F3-A0B3-4BFF-997E-ECB8EF28EAEC}" name="26.10" dataDxfId="78"/>
    <tableColumn id="40" xr3:uid="{1EBD5085-593D-43D7-91B4-BFA9E715C37F}" name="27.10" dataDxfId="77"/>
    <tableColumn id="41" xr3:uid="{2CC91D60-CDCE-4770-BBB5-52403D64D08C}" name="29.10" dataDxfId="76"/>
    <tableColumn id="42" xr3:uid="{11A39BC6-1A50-4DCA-B0A5-D73FFCA0BBED}" name="31.10" dataDxfId="75"/>
    <tableColumn id="43" xr3:uid="{240FF116-AEAE-4EB6-AFED-770D090FB1DF}" name="03.11" dataDxfId="74"/>
    <tableColumn id="44" xr3:uid="{2C4DEADC-1F33-4F8C-9B42-87235FB56158}" name="05.11" dataDxfId="73"/>
    <tableColumn id="45" xr3:uid="{A8118580-73D4-4459-AC87-53CC174FB0C7}" name="07.11" dataDxfId="72"/>
    <tableColumn id="46" xr3:uid="{A968BD32-789E-4FB7-A55D-7FFABB64D360}" name="09.11" dataDxfId="71"/>
    <tableColumn id="47" xr3:uid="{48075F65-78A7-4348-8DFF-5B4F8737FE15}" name="10.11" dataDxfId="70"/>
    <tableColumn id="48" xr3:uid="{9D6EF095-997C-4295-976C-0FCFC9772EC3}" name="12.11" dataDxfId="69"/>
    <tableColumn id="49" xr3:uid="{FEBD2203-D694-4152-A29C-7B822B481CCA}" name="14.11" dataDxfId="68"/>
    <tableColumn id="50" xr3:uid="{CD4FC2CC-9011-4386-946B-320CECC086E5}" name="16.11" dataDxfId="67"/>
    <tableColumn id="51" xr3:uid="{5BB80610-34E4-4DA6-9FD0-FA8BE2CBFC81}" name="17.11" dataDxfId="66"/>
    <tableColumn id="52" xr3:uid="{5F0439C2-F4B4-4424-B246-5BCF4043BA1F}" name="19.11" dataDxfId="65"/>
    <tableColumn id="53" xr3:uid="{A455FC92-9B36-4D10-B71C-376B5483980B}" name="21.11" dataDxfId="64"/>
    <tableColumn id="54" xr3:uid="{903F47A2-B74E-4540-BAC8-EAEFC54E55ED}" name="23.11" dataDxfId="63"/>
    <tableColumn id="55" xr3:uid="{C66195D4-9385-497A-8E04-7F3653951436}" name="24.11" dataDxfId="62"/>
    <tableColumn id="56" xr3:uid="{BEA03A8A-4C38-4FD2-AD0D-B7EED3DC99F9}" name="26.11" dataDxfId="61"/>
    <tableColumn id="57" xr3:uid="{0D4ADEC5-925C-41C9-BACB-DB56E075BDAE}" name="28.11" dataDxfId="60"/>
    <tableColumn id="58" xr3:uid="{92DA0ACA-6C74-4785-9580-6A527B944D61}" name="30.11" dataDxfId="59"/>
    <tableColumn id="59" xr3:uid="{C5E6EC83-7927-4518-8D2F-FF5362B353B3}" name="01.12" dataDxfId="58"/>
    <tableColumn id="60" xr3:uid="{1A379830-45AD-4AC8-8E89-41DB4F27234E}" name="03.12" dataDxfId="57"/>
    <tableColumn id="61" xr3:uid="{36476228-9E33-43FC-BB99-75C5D8C8F220}" name="05.12" dataDxfId="56"/>
    <tableColumn id="62" xr3:uid="{52424735-27ED-4E80-B9AD-7AE0D1B4D0D7}" name="07.12" dataDxfId="55"/>
    <tableColumn id="63" xr3:uid="{A9FE6216-B7B0-4C65-80CC-30CEE8514D73}" name="08.12" dataDxfId="54"/>
    <tableColumn id="64" xr3:uid="{6B9B3AF9-FECD-45B1-9A16-18711EB33BEB}" name="10.12" dataDxfId="53"/>
    <tableColumn id="65" xr3:uid="{88996B0B-694B-4C9C-B275-AC44F001517F}" name="12.12" dataDxfId="52"/>
    <tableColumn id="66" xr3:uid="{9FB8AD39-A40B-4C0D-8EBC-8CB0B984CD0F}" name="14.12" dataDxfId="51"/>
    <tableColumn id="67" xr3:uid="{BE8AC886-370E-48D6-91D7-42259B41996A}" name="15.12" dataDxfId="50"/>
    <tableColumn id="68" xr3:uid="{2A1A0D10-AAFF-462C-B312-6C7C84D7AA44}" name="17.12" dataDxfId="49"/>
    <tableColumn id="69" xr3:uid="{0DC6667E-F7CF-4575-A675-E4CA7D5618A3}" name="19.12" dataDxfId="48"/>
    <tableColumn id="70" xr3:uid="{F34D1BB6-4EB7-41E3-8835-823DB20BDE2E}" name="21.12" dataDxfId="47"/>
    <tableColumn id="71" xr3:uid="{6AA757BC-30DA-4358-8273-D91B72C76B8F}" name="22.12" dataDxfId="46"/>
    <tableColumn id="72" xr3:uid="{7D002E46-0B63-4DD0-ADCC-55C7FF90C9D2}" name="24.12" dataDxfId="45"/>
    <tableColumn id="73" xr3:uid="{4A2EDA90-8CFF-40BF-8F68-DE513F70C2F5}" name="27.12" dataDxfId="44"/>
    <tableColumn id="74" xr3:uid="{4F18CC8E-6CEA-4B3D-A7E2-8D3E15523ED6}" name="28.12" dataDxfId="43"/>
    <tableColumn id="75" xr3:uid="{1009411E-ECE3-4785-B52B-BD6550659CF2}" name="29.12" dataDxfId="42"/>
    <tableColumn id="76" xr3:uid="{BCC7DB51-A1DD-45CC-AF0B-F3D4D7F32028}" name="31.12" dataDxfId="41"/>
    <tableColumn id="77" xr3:uid="{43F10F84-CCDA-4E8B-9596-FF1BAA1AED4F}" name="03.01.26" dataDxfId="40"/>
    <tableColumn id="78" xr3:uid="{54EB9363-F5C0-41E4-B87F-851DE081D2F1}" name="04.01.26" dataDxfId="39"/>
    <tableColumn id="79" xr3:uid="{D60F3FC3-DF1E-48EB-95C5-69C4CAEA0EE9}" name="05.01.26" dataDxfId="38"/>
    <tableColumn id="80" xr3:uid="{DBAD0884-7978-4030-AC08-CD905B38419A}" name="07.01.26" dataDxfId="37"/>
    <tableColumn id="81" xr3:uid="{309CFAD0-990A-4BC3-AD57-725B2790CD89}" name="09.01.26" dataDxfId="36"/>
    <tableColumn id="82" xr3:uid="{9DC0C030-31B3-48AD-B6F5-6D87CE4F3DF3}" name="11.01.26" dataDxfId="35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60E48-6B06-4D4A-A1AF-8C1164C51D3D}">
  <dimension ref="A1:N82"/>
  <sheetViews>
    <sheetView topLeftCell="A35" workbookViewId="0">
      <selection activeCell="B35" sqref="B35"/>
    </sheetView>
  </sheetViews>
  <sheetFormatPr defaultRowHeight="14.4" x14ac:dyDescent="0.3"/>
  <cols>
    <col min="1" max="1" width="10.33203125" bestFit="1" customWidth="1"/>
    <col min="2" max="2" width="8.6640625" bestFit="1" customWidth="1"/>
    <col min="3" max="3" width="10.21875" bestFit="1" customWidth="1"/>
    <col min="4" max="4" width="8.21875" bestFit="1" customWidth="1"/>
    <col min="5" max="5" width="10.77734375" bestFit="1" customWidth="1"/>
    <col min="6" max="6" width="11.6640625" bestFit="1" customWidth="1"/>
    <col min="7" max="7" width="10.5546875" bestFit="1" customWidth="1"/>
    <col min="8" max="8" width="12.6640625" bestFit="1" customWidth="1"/>
    <col min="9" max="9" width="10.6640625" bestFit="1" customWidth="1"/>
    <col min="10" max="10" width="10.21875" bestFit="1" customWidth="1"/>
    <col min="11" max="11" width="10.6640625" bestFit="1" customWidth="1"/>
    <col min="12" max="12" width="11" bestFit="1" customWidth="1"/>
    <col min="13" max="13" width="12.6640625" bestFit="1" customWidth="1"/>
    <col min="14" max="15" width="14.44140625" bestFit="1" customWidth="1"/>
    <col min="16" max="16" width="14.44140625" customWidth="1"/>
  </cols>
  <sheetData>
    <row r="1" spans="1:14" x14ac:dyDescent="0.3">
      <c r="A1" t="s">
        <v>116</v>
      </c>
      <c r="B1" t="s">
        <v>65</v>
      </c>
      <c r="C1" t="s">
        <v>67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  <c r="I1" t="s">
        <v>74</v>
      </c>
      <c r="J1" t="s">
        <v>75</v>
      </c>
      <c r="K1" t="s">
        <v>76</v>
      </c>
      <c r="L1" t="s">
        <v>77</v>
      </c>
      <c r="M1" t="s">
        <v>129</v>
      </c>
      <c r="N1" t="s">
        <v>78</v>
      </c>
    </row>
    <row r="2" spans="1:14" x14ac:dyDescent="0.3">
      <c r="A2" s="35">
        <v>46259</v>
      </c>
      <c r="B2" s="9"/>
      <c r="C2" s="9"/>
      <c r="D2" s="9" t="s">
        <v>66</v>
      </c>
      <c r="E2" s="9" t="s">
        <v>66</v>
      </c>
      <c r="F2" s="9" t="s">
        <v>66</v>
      </c>
      <c r="G2" s="9" t="s">
        <v>66</v>
      </c>
      <c r="H2" s="9" t="s">
        <v>66</v>
      </c>
      <c r="I2" s="9" t="s">
        <v>66</v>
      </c>
      <c r="J2" s="9" t="s">
        <v>66</v>
      </c>
      <c r="K2" s="9" t="s">
        <v>66</v>
      </c>
      <c r="L2" s="9" t="s">
        <v>66</v>
      </c>
      <c r="M2" t="s">
        <v>66</v>
      </c>
      <c r="N2" s="9" t="s">
        <v>66</v>
      </c>
    </row>
    <row r="3" spans="1:14" x14ac:dyDescent="0.3">
      <c r="A3" s="35">
        <v>46260</v>
      </c>
      <c r="B3" s="9"/>
      <c r="C3" s="9"/>
      <c r="D3" s="9" t="s">
        <v>66</v>
      </c>
      <c r="E3" s="9" t="s">
        <v>66</v>
      </c>
      <c r="F3" s="9" t="s">
        <v>66</v>
      </c>
      <c r="G3" s="9" t="s">
        <v>66</v>
      </c>
      <c r="H3" s="9" t="s">
        <v>66</v>
      </c>
      <c r="I3" s="9" t="s">
        <v>66</v>
      </c>
      <c r="J3" s="9" t="s">
        <v>66</v>
      </c>
      <c r="K3" s="9" t="s">
        <v>66</v>
      </c>
      <c r="L3" s="9" t="s">
        <v>66</v>
      </c>
      <c r="M3" t="s">
        <v>66</v>
      </c>
      <c r="N3" s="9" t="s">
        <v>66</v>
      </c>
    </row>
    <row r="4" spans="1:14" x14ac:dyDescent="0.3">
      <c r="A4" s="35">
        <v>46261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N4" s="9"/>
    </row>
    <row r="5" spans="1:14" x14ac:dyDescent="0.3">
      <c r="A5" s="35">
        <v>46262</v>
      </c>
      <c r="B5" s="9"/>
      <c r="C5" s="9"/>
      <c r="D5" s="9" t="s">
        <v>66</v>
      </c>
      <c r="E5" s="9" t="s">
        <v>66</v>
      </c>
      <c r="F5" s="9" t="s">
        <v>66</v>
      </c>
      <c r="G5" s="9" t="s">
        <v>66</v>
      </c>
      <c r="H5" s="9" t="s">
        <v>66</v>
      </c>
      <c r="I5" s="9" t="s">
        <v>66</v>
      </c>
      <c r="J5" s="9" t="s">
        <v>66</v>
      </c>
      <c r="K5" s="9" t="s">
        <v>66</v>
      </c>
      <c r="L5" s="9" t="s">
        <v>66</v>
      </c>
      <c r="M5" t="s">
        <v>66</v>
      </c>
      <c r="N5" s="9" t="s">
        <v>66</v>
      </c>
    </row>
    <row r="6" spans="1:14" x14ac:dyDescent="0.3">
      <c r="A6" s="35">
        <v>46263</v>
      </c>
      <c r="B6" s="9"/>
      <c r="C6" s="9"/>
      <c r="D6" s="9" t="s">
        <v>66</v>
      </c>
      <c r="E6" s="9" t="s">
        <v>66</v>
      </c>
      <c r="F6" s="9" t="s">
        <v>66</v>
      </c>
      <c r="G6" s="9" t="s">
        <v>66</v>
      </c>
      <c r="H6" s="9" t="s">
        <v>66</v>
      </c>
      <c r="I6" s="9" t="s">
        <v>66</v>
      </c>
      <c r="J6" s="9" t="s">
        <v>66</v>
      </c>
      <c r="K6" s="9" t="s">
        <v>66</v>
      </c>
      <c r="L6" s="9" t="s">
        <v>66</v>
      </c>
      <c r="M6" t="s">
        <v>66</v>
      </c>
      <c r="N6" s="9" t="s">
        <v>66</v>
      </c>
    </row>
    <row r="7" spans="1:14" x14ac:dyDescent="0.3">
      <c r="A7" s="35">
        <v>46266</v>
      </c>
      <c r="B7" s="9"/>
      <c r="C7" s="9"/>
      <c r="D7" s="9"/>
      <c r="E7" s="9"/>
      <c r="F7" s="9"/>
      <c r="G7" s="9" t="s">
        <v>66</v>
      </c>
      <c r="H7" s="9" t="s">
        <v>66</v>
      </c>
      <c r="I7" s="9" t="s">
        <v>66</v>
      </c>
      <c r="J7" s="9" t="s">
        <v>66</v>
      </c>
      <c r="K7" s="9" t="s">
        <v>66</v>
      </c>
      <c r="L7" s="9" t="s">
        <v>66</v>
      </c>
      <c r="M7" t="s">
        <v>66</v>
      </c>
      <c r="N7" s="9" t="s">
        <v>66</v>
      </c>
    </row>
    <row r="8" spans="1:14" x14ac:dyDescent="0.3">
      <c r="A8" s="35">
        <v>46267</v>
      </c>
      <c r="B8" s="9"/>
      <c r="C8" s="9"/>
      <c r="D8" s="9"/>
      <c r="E8" s="9"/>
      <c r="F8" s="9"/>
      <c r="G8" s="9" t="s">
        <v>66</v>
      </c>
      <c r="H8" s="9" t="s">
        <v>66</v>
      </c>
      <c r="I8" s="9" t="s">
        <v>66</v>
      </c>
      <c r="J8" s="9" t="s">
        <v>66</v>
      </c>
      <c r="K8" s="9" t="s">
        <v>66</v>
      </c>
      <c r="L8" s="9" t="s">
        <v>66</v>
      </c>
      <c r="M8" t="s">
        <v>66</v>
      </c>
      <c r="N8" s="9" t="s">
        <v>66</v>
      </c>
    </row>
    <row r="9" spans="1:14" x14ac:dyDescent="0.3">
      <c r="A9" s="35">
        <v>46269</v>
      </c>
      <c r="B9" s="9"/>
      <c r="C9" s="9"/>
      <c r="D9" s="9"/>
      <c r="E9" s="9"/>
      <c r="F9" s="9"/>
      <c r="G9" s="9" t="s">
        <v>66</v>
      </c>
      <c r="H9" s="9" t="s">
        <v>66</v>
      </c>
      <c r="I9" s="9" t="s">
        <v>66</v>
      </c>
      <c r="J9" s="9" t="s">
        <v>66</v>
      </c>
      <c r="K9" s="9" t="s">
        <v>66</v>
      </c>
      <c r="L9" s="9" t="s">
        <v>66</v>
      </c>
      <c r="M9" t="s">
        <v>66</v>
      </c>
      <c r="N9" s="9" t="s">
        <v>66</v>
      </c>
    </row>
    <row r="10" spans="1:14" x14ac:dyDescent="0.3">
      <c r="A10" s="35">
        <v>46270</v>
      </c>
      <c r="B10" s="9"/>
      <c r="C10" s="9"/>
      <c r="D10" s="9"/>
      <c r="E10" s="9"/>
      <c r="F10" s="9"/>
      <c r="G10" s="9" t="s">
        <v>66</v>
      </c>
      <c r="H10" s="9" t="s">
        <v>66</v>
      </c>
      <c r="I10" s="9" t="s">
        <v>66</v>
      </c>
      <c r="J10" s="9" t="s">
        <v>66</v>
      </c>
      <c r="K10" s="9" t="s">
        <v>66</v>
      </c>
      <c r="L10" s="9" t="s">
        <v>66</v>
      </c>
      <c r="M10" t="s">
        <v>66</v>
      </c>
      <c r="N10" s="9" t="s">
        <v>66</v>
      </c>
    </row>
    <row r="11" spans="1:14" x14ac:dyDescent="0.3">
      <c r="A11" s="35">
        <v>46273</v>
      </c>
      <c r="B11" s="9"/>
      <c r="C11" s="9"/>
      <c r="D11" s="9" t="s">
        <v>66</v>
      </c>
      <c r="E11" s="9"/>
      <c r="F11" s="9" t="s">
        <v>66</v>
      </c>
      <c r="G11" s="9" t="s">
        <v>66</v>
      </c>
      <c r="H11" s="9"/>
      <c r="I11" s="9" t="s">
        <v>66</v>
      </c>
      <c r="J11" s="9" t="s">
        <v>66</v>
      </c>
      <c r="K11" s="9" t="s">
        <v>66</v>
      </c>
      <c r="L11" s="9" t="s">
        <v>66</v>
      </c>
      <c r="M11" t="s">
        <v>66</v>
      </c>
      <c r="N11" s="9" t="s">
        <v>66</v>
      </c>
    </row>
    <row r="12" spans="1:14" x14ac:dyDescent="0.3">
      <c r="A12" s="35">
        <v>46275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N12" s="9"/>
    </row>
    <row r="13" spans="1:14" x14ac:dyDescent="0.3">
      <c r="A13" s="35">
        <v>46277</v>
      </c>
      <c r="B13" s="9"/>
      <c r="C13" s="9" t="s">
        <v>66</v>
      </c>
      <c r="D13" s="9" t="s">
        <v>66</v>
      </c>
      <c r="E13" s="9" t="s">
        <v>66</v>
      </c>
      <c r="F13" s="9" t="s">
        <v>66</v>
      </c>
      <c r="G13" s="9" t="s">
        <v>66</v>
      </c>
      <c r="H13" s="9" t="s">
        <v>66</v>
      </c>
      <c r="I13" s="9" t="s">
        <v>66</v>
      </c>
      <c r="J13" s="9" t="s">
        <v>66</v>
      </c>
      <c r="K13" s="9" t="s">
        <v>66</v>
      </c>
      <c r="L13" s="9" t="s">
        <v>66</v>
      </c>
      <c r="M13" t="s">
        <v>66</v>
      </c>
      <c r="N13" s="9" t="s">
        <v>66</v>
      </c>
    </row>
    <row r="14" spans="1:14" x14ac:dyDescent="0.3">
      <c r="A14" s="35">
        <v>46278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N14" s="9"/>
    </row>
    <row r="15" spans="1:14" x14ac:dyDescent="0.3">
      <c r="A15" s="35">
        <v>46280</v>
      </c>
      <c r="B15" s="9"/>
      <c r="C15" s="9" t="s">
        <v>68</v>
      </c>
      <c r="D15" s="9" t="s">
        <v>66</v>
      </c>
      <c r="E15" s="9" t="s">
        <v>66</v>
      </c>
      <c r="F15" s="9" t="s">
        <v>66</v>
      </c>
      <c r="G15" s="9" t="s">
        <v>66</v>
      </c>
      <c r="H15" s="9" t="s">
        <v>66</v>
      </c>
      <c r="I15" s="9" t="s">
        <v>66</v>
      </c>
      <c r="J15" s="9" t="s">
        <v>66</v>
      </c>
      <c r="K15" s="9" t="s">
        <v>66</v>
      </c>
      <c r="L15" s="9" t="s">
        <v>66</v>
      </c>
      <c r="M15" t="s">
        <v>66</v>
      </c>
      <c r="N15" s="9" t="s">
        <v>66</v>
      </c>
    </row>
    <row r="16" spans="1:14" x14ac:dyDescent="0.3">
      <c r="A16" s="35">
        <v>46282</v>
      </c>
      <c r="B16" s="9"/>
      <c r="C16" s="9" t="s">
        <v>66</v>
      </c>
      <c r="D16" s="9" t="s">
        <v>66</v>
      </c>
      <c r="E16" s="9" t="s">
        <v>66</v>
      </c>
      <c r="F16" s="9" t="s">
        <v>66</v>
      </c>
      <c r="G16" s="9" t="s">
        <v>66</v>
      </c>
      <c r="H16" s="9" t="s">
        <v>66</v>
      </c>
      <c r="I16" s="9" t="s">
        <v>66</v>
      </c>
      <c r="J16" s="9" t="s">
        <v>66</v>
      </c>
      <c r="K16" s="9" t="s">
        <v>66</v>
      </c>
      <c r="L16" s="9" t="s">
        <v>66</v>
      </c>
      <c r="M16" t="s">
        <v>66</v>
      </c>
      <c r="N16" s="9" t="s">
        <v>66</v>
      </c>
    </row>
    <row r="17" spans="1:14" x14ac:dyDescent="0.3">
      <c r="A17" s="35">
        <v>46284</v>
      </c>
      <c r="B17" s="9"/>
      <c r="C17" s="9" t="s">
        <v>66</v>
      </c>
      <c r="D17" s="9" t="s">
        <v>66</v>
      </c>
      <c r="E17" s="9" t="s">
        <v>66</v>
      </c>
      <c r="F17" s="9" t="s">
        <v>66</v>
      </c>
      <c r="G17" s="9" t="s">
        <v>66</v>
      </c>
      <c r="H17" s="9" t="s">
        <v>66</v>
      </c>
      <c r="I17" s="9" t="s">
        <v>66</v>
      </c>
      <c r="J17" s="9" t="s">
        <v>66</v>
      </c>
      <c r="K17" s="9" t="s">
        <v>66</v>
      </c>
      <c r="L17" s="9" t="s">
        <v>66</v>
      </c>
      <c r="M17" t="s">
        <v>66</v>
      </c>
      <c r="N17" s="9" t="s">
        <v>66</v>
      </c>
    </row>
    <row r="18" spans="1:14" x14ac:dyDescent="0.3">
      <c r="A18" s="35">
        <v>46285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N18" s="9"/>
    </row>
    <row r="19" spans="1:14" x14ac:dyDescent="0.3">
      <c r="A19" s="35">
        <v>46287</v>
      </c>
      <c r="B19" s="9" t="s">
        <v>66</v>
      </c>
      <c r="C19" s="9" t="s">
        <v>66</v>
      </c>
      <c r="D19" s="9" t="s">
        <v>66</v>
      </c>
      <c r="E19" s="9"/>
      <c r="F19" s="9" t="s">
        <v>66</v>
      </c>
      <c r="G19" s="9"/>
      <c r="H19" s="9" t="s">
        <v>66</v>
      </c>
      <c r="I19" s="9"/>
      <c r="J19" s="9"/>
      <c r="K19" s="9" t="s">
        <v>66</v>
      </c>
      <c r="L19" s="9"/>
      <c r="M19" t="s">
        <v>66</v>
      </c>
      <c r="N19" s="9" t="s">
        <v>66</v>
      </c>
    </row>
    <row r="20" spans="1:14" x14ac:dyDescent="0.3">
      <c r="A20" s="35">
        <v>46289</v>
      </c>
      <c r="B20" s="9"/>
      <c r="C20" s="9" t="s">
        <v>66</v>
      </c>
      <c r="D20" s="9" t="s">
        <v>66</v>
      </c>
      <c r="E20" s="9" t="s">
        <v>66</v>
      </c>
      <c r="F20" s="9" t="s">
        <v>66</v>
      </c>
      <c r="G20" s="9" t="s">
        <v>66</v>
      </c>
      <c r="H20" s="9" t="s">
        <v>66</v>
      </c>
      <c r="I20" s="9"/>
      <c r="J20" s="9"/>
      <c r="K20" s="9" t="s">
        <v>66</v>
      </c>
      <c r="L20" s="9" t="s">
        <v>66</v>
      </c>
      <c r="M20" t="s">
        <v>66</v>
      </c>
      <c r="N20" s="9" t="s">
        <v>66</v>
      </c>
    </row>
    <row r="21" spans="1:14" x14ac:dyDescent="0.3">
      <c r="A21" s="35">
        <v>46291</v>
      </c>
      <c r="B21" s="9"/>
      <c r="C21" s="9" t="s">
        <v>66</v>
      </c>
      <c r="D21" s="9" t="s">
        <v>66</v>
      </c>
      <c r="E21" s="9" t="s">
        <v>66</v>
      </c>
      <c r="F21" s="9" t="s">
        <v>66</v>
      </c>
      <c r="G21" s="9" t="s">
        <v>66</v>
      </c>
      <c r="H21" s="9" t="s">
        <v>66</v>
      </c>
      <c r="I21" s="9" t="s">
        <v>66</v>
      </c>
      <c r="J21" s="9" t="s">
        <v>66</v>
      </c>
      <c r="K21" s="9" t="s">
        <v>66</v>
      </c>
      <c r="L21" s="9" t="s">
        <v>66</v>
      </c>
      <c r="M21" t="s">
        <v>66</v>
      </c>
      <c r="N21" s="9" t="s">
        <v>66</v>
      </c>
    </row>
    <row r="22" spans="1:14" x14ac:dyDescent="0.3">
      <c r="A22" s="35">
        <v>46293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N22" s="9"/>
    </row>
    <row r="23" spans="1:14" x14ac:dyDescent="0.3">
      <c r="A23" s="35">
        <v>46294</v>
      </c>
      <c r="B23" s="9"/>
      <c r="C23" s="9" t="s">
        <v>66</v>
      </c>
      <c r="D23" s="9" t="s">
        <v>66</v>
      </c>
      <c r="E23" s="9" t="s">
        <v>66</v>
      </c>
      <c r="F23" s="9" t="s">
        <v>66</v>
      </c>
      <c r="G23" s="9" t="s">
        <v>66</v>
      </c>
      <c r="H23" s="9" t="s">
        <v>66</v>
      </c>
      <c r="I23" s="9" t="s">
        <v>66</v>
      </c>
      <c r="J23" s="9" t="s">
        <v>66</v>
      </c>
      <c r="K23" s="9" t="s">
        <v>66</v>
      </c>
      <c r="L23" s="9" t="s">
        <v>66</v>
      </c>
      <c r="M23" t="s">
        <v>66</v>
      </c>
      <c r="N23" s="9" t="s">
        <v>66</v>
      </c>
    </row>
    <row r="24" spans="1:14" x14ac:dyDescent="0.3">
      <c r="A24" s="35">
        <v>46296</v>
      </c>
      <c r="B24" s="9" t="s">
        <v>66</v>
      </c>
      <c r="C24" s="9" t="s">
        <v>66</v>
      </c>
      <c r="D24" s="9" t="s">
        <v>66</v>
      </c>
      <c r="E24" s="9" t="s">
        <v>66</v>
      </c>
      <c r="F24" s="9" t="s">
        <v>66</v>
      </c>
      <c r="G24" s="9"/>
      <c r="H24" s="9" t="s">
        <v>66</v>
      </c>
      <c r="I24" s="9" t="s">
        <v>66</v>
      </c>
      <c r="J24" s="9" t="s">
        <v>66</v>
      </c>
      <c r="K24" s="9"/>
      <c r="L24" s="9" t="s">
        <v>66</v>
      </c>
      <c r="N24" s="9" t="s">
        <v>66</v>
      </c>
    </row>
    <row r="25" spans="1:14" x14ac:dyDescent="0.3">
      <c r="A25" s="35">
        <v>46298</v>
      </c>
      <c r="B25" s="9"/>
      <c r="C25" s="9" t="s">
        <v>66</v>
      </c>
      <c r="D25" s="9" t="s">
        <v>66</v>
      </c>
      <c r="E25" s="9" t="s">
        <v>66</v>
      </c>
      <c r="F25" s="9" t="s">
        <v>66</v>
      </c>
      <c r="G25" s="9" t="s">
        <v>66</v>
      </c>
      <c r="H25" s="9"/>
      <c r="I25" s="9" t="s">
        <v>66</v>
      </c>
      <c r="J25" s="9" t="s">
        <v>66</v>
      </c>
      <c r="K25" s="9" t="s">
        <v>66</v>
      </c>
      <c r="L25" s="9" t="s">
        <v>66</v>
      </c>
      <c r="M25" t="s">
        <v>66</v>
      </c>
      <c r="N25" s="9" t="s">
        <v>66</v>
      </c>
    </row>
    <row r="26" spans="1:14" x14ac:dyDescent="0.3">
      <c r="A26" s="35">
        <v>46300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N26" s="9"/>
    </row>
    <row r="27" spans="1:14" x14ac:dyDescent="0.3">
      <c r="A27" s="35">
        <v>46301</v>
      </c>
      <c r="B27" s="9" t="s">
        <v>66</v>
      </c>
      <c r="C27" s="9" t="s">
        <v>66</v>
      </c>
      <c r="D27" s="9"/>
      <c r="E27" s="9" t="s">
        <v>66</v>
      </c>
      <c r="F27" s="9" t="s">
        <v>66</v>
      </c>
      <c r="G27" s="9"/>
      <c r="H27" s="9" t="s">
        <v>66</v>
      </c>
      <c r="I27" s="9" t="s">
        <v>66</v>
      </c>
      <c r="J27" s="9" t="s">
        <v>66</v>
      </c>
      <c r="K27" s="9" t="s">
        <v>66</v>
      </c>
      <c r="L27" s="9" t="s">
        <v>66</v>
      </c>
      <c r="M27" t="s">
        <v>66</v>
      </c>
      <c r="N27" s="9" t="s">
        <v>66</v>
      </c>
    </row>
    <row r="28" spans="1:14" x14ac:dyDescent="0.3">
      <c r="A28" s="35">
        <v>46303</v>
      </c>
      <c r="B28" s="9" t="s">
        <v>66</v>
      </c>
      <c r="C28" s="9" t="s">
        <v>66</v>
      </c>
      <c r="D28" s="9"/>
      <c r="E28" s="9" t="s">
        <v>66</v>
      </c>
      <c r="F28" s="9" t="s">
        <v>66</v>
      </c>
      <c r="G28" s="9"/>
      <c r="H28" s="9" t="s">
        <v>66</v>
      </c>
      <c r="I28" s="9" t="s">
        <v>66</v>
      </c>
      <c r="J28" s="9" t="s">
        <v>66</v>
      </c>
      <c r="K28" s="9" t="s">
        <v>66</v>
      </c>
      <c r="L28" s="9" t="s">
        <v>66</v>
      </c>
      <c r="M28" t="s">
        <v>66</v>
      </c>
      <c r="N28" s="9" t="s">
        <v>66</v>
      </c>
    </row>
    <row r="29" spans="1:14" x14ac:dyDescent="0.3">
      <c r="A29" s="35">
        <v>46305</v>
      </c>
      <c r="B29" s="9" t="s">
        <v>66</v>
      </c>
      <c r="C29" s="9" t="s">
        <v>66</v>
      </c>
      <c r="D29" s="9"/>
      <c r="E29" s="9" t="s">
        <v>66</v>
      </c>
      <c r="F29" s="9" t="s">
        <v>66</v>
      </c>
      <c r="G29" s="9" t="s">
        <v>66</v>
      </c>
      <c r="H29" s="9" t="s">
        <v>66</v>
      </c>
      <c r="I29" s="9" t="s">
        <v>66</v>
      </c>
      <c r="J29" s="9" t="s">
        <v>66</v>
      </c>
      <c r="K29" s="9" t="s">
        <v>66</v>
      </c>
      <c r="L29" s="9" t="s">
        <v>66</v>
      </c>
      <c r="M29" t="s">
        <v>66</v>
      </c>
      <c r="N29" s="9" t="s">
        <v>66</v>
      </c>
    </row>
    <row r="30" spans="1:14" x14ac:dyDescent="0.3">
      <c r="A30" s="35">
        <v>46307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N30" s="9"/>
    </row>
    <row r="31" spans="1:14" x14ac:dyDescent="0.3">
      <c r="A31" s="35">
        <v>46308</v>
      </c>
      <c r="B31" s="9" t="s">
        <v>66</v>
      </c>
      <c r="C31" s="9" t="s">
        <v>66</v>
      </c>
      <c r="D31" s="9" t="s">
        <v>66</v>
      </c>
      <c r="E31" s="9" t="s">
        <v>66</v>
      </c>
      <c r="F31" s="9" t="s">
        <v>68</v>
      </c>
      <c r="G31" s="9"/>
      <c r="H31" s="9"/>
      <c r="I31" s="9" t="s">
        <v>66</v>
      </c>
      <c r="J31" s="9" t="s">
        <v>66</v>
      </c>
      <c r="K31" s="9" t="s">
        <v>66</v>
      </c>
      <c r="L31" s="9" t="s">
        <v>66</v>
      </c>
      <c r="M31" t="s">
        <v>66</v>
      </c>
      <c r="N31" s="9" t="s">
        <v>66</v>
      </c>
    </row>
    <row r="32" spans="1:14" x14ac:dyDescent="0.3">
      <c r="A32" s="35">
        <v>46310</v>
      </c>
      <c r="B32" s="9"/>
      <c r="C32" s="9" t="s">
        <v>66</v>
      </c>
      <c r="D32" s="9" t="s">
        <v>66</v>
      </c>
      <c r="E32" s="9"/>
      <c r="F32" s="9" t="s">
        <v>66</v>
      </c>
      <c r="G32" s="9" t="s">
        <v>66</v>
      </c>
      <c r="H32" s="9" t="s">
        <v>66</v>
      </c>
      <c r="I32" s="9" t="s">
        <v>66</v>
      </c>
      <c r="J32" s="9" t="s">
        <v>66</v>
      </c>
      <c r="K32" s="9" t="s">
        <v>66</v>
      </c>
      <c r="L32" s="9" t="s">
        <v>66</v>
      </c>
      <c r="M32" t="s">
        <v>66</v>
      </c>
      <c r="N32" s="9" t="s">
        <v>66</v>
      </c>
    </row>
    <row r="33" spans="1:14" x14ac:dyDescent="0.3">
      <c r="A33" s="35">
        <v>46312</v>
      </c>
      <c r="B33" s="9" t="s">
        <v>66</v>
      </c>
      <c r="C33" s="9" t="s">
        <v>66</v>
      </c>
      <c r="D33" s="9" t="s">
        <v>66</v>
      </c>
      <c r="E33" s="9" t="s">
        <v>66</v>
      </c>
      <c r="F33" s="9" t="s">
        <v>66</v>
      </c>
      <c r="G33" s="9" t="s">
        <v>66</v>
      </c>
      <c r="H33" s="9" t="s">
        <v>66</v>
      </c>
      <c r="I33" s="9" t="s">
        <v>66</v>
      </c>
      <c r="J33" s="9" t="s">
        <v>66</v>
      </c>
      <c r="K33" s="9" t="s">
        <v>66</v>
      </c>
      <c r="L33" s="9" t="s">
        <v>66</v>
      </c>
      <c r="M33" t="s">
        <v>66</v>
      </c>
      <c r="N33" s="9" t="s">
        <v>66</v>
      </c>
    </row>
    <row r="34" spans="1:14" x14ac:dyDescent="0.3">
      <c r="A34" s="35">
        <v>46314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N34" s="9"/>
    </row>
    <row r="35" spans="1:14" x14ac:dyDescent="0.3">
      <c r="A35" s="35">
        <v>46315</v>
      </c>
      <c r="B35" s="9" t="s">
        <v>66</v>
      </c>
      <c r="C35" s="9"/>
      <c r="D35" s="9" t="s">
        <v>66</v>
      </c>
      <c r="E35" s="9" t="s">
        <v>66</v>
      </c>
      <c r="F35" s="9" t="s">
        <v>66</v>
      </c>
      <c r="G35" s="9" t="s">
        <v>66</v>
      </c>
      <c r="H35" s="9" t="s">
        <v>66</v>
      </c>
      <c r="I35" s="9" t="s">
        <v>66</v>
      </c>
      <c r="J35" s="9" t="s">
        <v>66</v>
      </c>
      <c r="K35" s="9" t="s">
        <v>66</v>
      </c>
      <c r="L35" s="9" t="s">
        <v>66</v>
      </c>
      <c r="M35" t="s">
        <v>66</v>
      </c>
      <c r="N35" s="9" t="s">
        <v>66</v>
      </c>
    </row>
    <row r="36" spans="1:14" x14ac:dyDescent="0.3">
      <c r="A36" s="35">
        <v>46317</v>
      </c>
      <c r="B36" s="9" t="s">
        <v>66</v>
      </c>
      <c r="C36" s="9" t="s">
        <v>66</v>
      </c>
      <c r="D36" s="9" t="s">
        <v>66</v>
      </c>
      <c r="E36" s="9" t="s">
        <v>66</v>
      </c>
      <c r="F36" s="9" t="s">
        <v>66</v>
      </c>
      <c r="G36" s="9" t="s">
        <v>66</v>
      </c>
      <c r="H36" s="9" t="s">
        <v>66</v>
      </c>
      <c r="I36" s="9" t="s">
        <v>66</v>
      </c>
      <c r="J36" s="9" t="s">
        <v>66</v>
      </c>
      <c r="K36" s="9" t="s">
        <v>66</v>
      </c>
      <c r="L36" s="9" t="s">
        <v>66</v>
      </c>
      <c r="M36" t="s">
        <v>66</v>
      </c>
      <c r="N36" s="9" t="s">
        <v>66</v>
      </c>
    </row>
    <row r="37" spans="1:14" x14ac:dyDescent="0.3">
      <c r="A37" s="35">
        <v>46319</v>
      </c>
      <c r="B37" s="9" t="s">
        <v>66</v>
      </c>
      <c r="C37" s="9" t="s">
        <v>66</v>
      </c>
      <c r="D37" s="9" t="s">
        <v>66</v>
      </c>
      <c r="E37" s="9" t="s">
        <v>66</v>
      </c>
      <c r="F37" s="9" t="s">
        <v>66</v>
      </c>
      <c r="G37" s="9" t="s">
        <v>66</v>
      </c>
      <c r="H37" s="9" t="s">
        <v>66</v>
      </c>
      <c r="I37" s="9" t="s">
        <v>66</v>
      </c>
      <c r="J37" s="9" t="s">
        <v>66</v>
      </c>
      <c r="K37" s="9" t="s">
        <v>66</v>
      </c>
      <c r="L37" s="9" t="s">
        <v>66</v>
      </c>
      <c r="M37" t="s">
        <v>66</v>
      </c>
      <c r="N37" s="9" t="s">
        <v>66</v>
      </c>
    </row>
    <row r="38" spans="1:14" x14ac:dyDescent="0.3">
      <c r="A38" s="35">
        <v>46321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N38" s="9"/>
    </row>
    <row r="39" spans="1:14" x14ac:dyDescent="0.3">
      <c r="A39" s="35">
        <v>46322</v>
      </c>
      <c r="B39" s="9" t="s">
        <v>66</v>
      </c>
      <c r="C39" s="9" t="s">
        <v>66</v>
      </c>
      <c r="D39" s="9" t="s">
        <v>68</v>
      </c>
      <c r="E39" s="9" t="s">
        <v>66</v>
      </c>
      <c r="F39" s="9" t="s">
        <v>68</v>
      </c>
      <c r="G39" s="9" t="s">
        <v>66</v>
      </c>
      <c r="H39" s="9" t="s">
        <v>66</v>
      </c>
      <c r="I39" s="9" t="s">
        <v>66</v>
      </c>
      <c r="J39" s="9" t="s">
        <v>66</v>
      </c>
      <c r="K39" s="9" t="s">
        <v>66</v>
      </c>
      <c r="L39" s="9" t="s">
        <v>66</v>
      </c>
      <c r="M39" t="s">
        <v>66</v>
      </c>
      <c r="N39" s="9" t="s">
        <v>66</v>
      </c>
    </row>
    <row r="40" spans="1:14" x14ac:dyDescent="0.3">
      <c r="A40" s="35">
        <v>46324</v>
      </c>
      <c r="B40" s="9" t="s">
        <v>66</v>
      </c>
      <c r="C40" s="9" t="s">
        <v>66</v>
      </c>
      <c r="D40" s="9"/>
      <c r="E40" s="9" t="s">
        <v>66</v>
      </c>
      <c r="F40" s="9" t="s">
        <v>66</v>
      </c>
      <c r="G40" s="9" t="s">
        <v>66</v>
      </c>
      <c r="H40" s="9" t="s">
        <v>66</v>
      </c>
      <c r="I40" s="9" t="s">
        <v>66</v>
      </c>
      <c r="J40" s="9" t="s">
        <v>66</v>
      </c>
      <c r="K40" s="9" t="s">
        <v>66</v>
      </c>
      <c r="L40" s="9" t="s">
        <v>66</v>
      </c>
      <c r="M40" t="s">
        <v>66</v>
      </c>
      <c r="N40" s="9" t="s">
        <v>66</v>
      </c>
    </row>
    <row r="41" spans="1:14" x14ac:dyDescent="0.3">
      <c r="A41" s="35">
        <v>46326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N41" s="9"/>
    </row>
    <row r="42" spans="1:14" x14ac:dyDescent="0.3">
      <c r="A42" s="35">
        <v>46329</v>
      </c>
      <c r="B42" s="9" t="s">
        <v>66</v>
      </c>
      <c r="C42" s="9"/>
      <c r="D42" s="9"/>
      <c r="E42" s="9"/>
      <c r="F42" s="9" t="s">
        <v>66</v>
      </c>
      <c r="G42" s="9" t="s">
        <v>66</v>
      </c>
      <c r="H42" s="9" t="s">
        <v>66</v>
      </c>
      <c r="I42" s="9" t="s">
        <v>66</v>
      </c>
      <c r="J42" s="9" t="s">
        <v>66</v>
      </c>
      <c r="K42" s="9" t="s">
        <v>66</v>
      </c>
      <c r="L42" s="9" t="s">
        <v>66</v>
      </c>
      <c r="M42" t="s">
        <v>66</v>
      </c>
      <c r="N42" s="9" t="s">
        <v>66</v>
      </c>
    </row>
    <row r="43" spans="1:14" x14ac:dyDescent="0.3">
      <c r="A43" s="35">
        <v>46331</v>
      </c>
      <c r="B43" s="9" t="s">
        <v>66</v>
      </c>
      <c r="C43" s="9" t="s">
        <v>66</v>
      </c>
      <c r="D43" s="9" t="s">
        <v>66</v>
      </c>
      <c r="E43" s="9" t="s">
        <v>66</v>
      </c>
      <c r="F43" s="9" t="s">
        <v>66</v>
      </c>
      <c r="G43" s="9" t="s">
        <v>66</v>
      </c>
      <c r="H43" s="9" t="s">
        <v>66</v>
      </c>
      <c r="I43" s="9" t="s">
        <v>66</v>
      </c>
      <c r="J43" s="9" t="s">
        <v>66</v>
      </c>
      <c r="K43" s="9" t="s">
        <v>66</v>
      </c>
      <c r="L43" s="9" t="s">
        <v>66</v>
      </c>
      <c r="M43" t="s">
        <v>66</v>
      </c>
      <c r="N43" s="9" t="s">
        <v>66</v>
      </c>
    </row>
    <row r="44" spans="1:14" x14ac:dyDescent="0.3">
      <c r="A44" s="35">
        <v>46333</v>
      </c>
      <c r="B44" s="9" t="s">
        <v>66</v>
      </c>
      <c r="C44" s="9" t="s">
        <v>66</v>
      </c>
      <c r="D44" s="9" t="s">
        <v>66</v>
      </c>
      <c r="E44" s="9" t="s">
        <v>66</v>
      </c>
      <c r="F44" s="9" t="s">
        <v>66</v>
      </c>
      <c r="G44" s="9" t="s">
        <v>66</v>
      </c>
      <c r="H44" s="9"/>
      <c r="I44" s="9" t="s">
        <v>66</v>
      </c>
      <c r="J44" s="9" t="s">
        <v>66</v>
      </c>
      <c r="K44" s="9" t="s">
        <v>66</v>
      </c>
      <c r="L44" s="9" t="s">
        <v>66</v>
      </c>
      <c r="M44" t="s">
        <v>66</v>
      </c>
      <c r="N44" s="9" t="s">
        <v>66</v>
      </c>
    </row>
    <row r="45" spans="1:14" x14ac:dyDescent="0.3">
      <c r="A45" s="35">
        <v>46335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N45" s="9"/>
    </row>
    <row r="46" spans="1:14" x14ac:dyDescent="0.3">
      <c r="A46" s="35">
        <v>46336</v>
      </c>
      <c r="B46" s="9" t="s">
        <v>66</v>
      </c>
      <c r="C46" s="9" t="s">
        <v>66</v>
      </c>
      <c r="D46" s="9"/>
      <c r="E46" s="9"/>
      <c r="F46" s="9"/>
      <c r="G46" s="9" t="s">
        <v>66</v>
      </c>
      <c r="H46" s="9" t="s">
        <v>66</v>
      </c>
      <c r="I46" s="9" t="s">
        <v>66</v>
      </c>
      <c r="J46" s="9" t="s">
        <v>66</v>
      </c>
      <c r="K46" s="9" t="s">
        <v>66</v>
      </c>
      <c r="L46" s="9" t="s">
        <v>66</v>
      </c>
      <c r="M46" t="s">
        <v>66</v>
      </c>
      <c r="N46" s="9" t="s">
        <v>66</v>
      </c>
    </row>
    <row r="47" spans="1:14" x14ac:dyDescent="0.3">
      <c r="A47" s="35">
        <v>46338</v>
      </c>
      <c r="B47" s="9" t="s">
        <v>66</v>
      </c>
      <c r="C47" s="9" t="s">
        <v>66</v>
      </c>
      <c r="D47" s="9" t="s">
        <v>66</v>
      </c>
      <c r="E47" s="9"/>
      <c r="F47" s="9" t="s">
        <v>66</v>
      </c>
      <c r="G47" s="9" t="s">
        <v>66</v>
      </c>
      <c r="H47" s="9" t="s">
        <v>66</v>
      </c>
      <c r="I47" s="9" t="s">
        <v>66</v>
      </c>
      <c r="J47" s="9" t="s">
        <v>66</v>
      </c>
      <c r="K47" s="9" t="s">
        <v>66</v>
      </c>
      <c r="L47" s="9" t="s">
        <v>66</v>
      </c>
      <c r="M47" t="s">
        <v>66</v>
      </c>
      <c r="N47" s="9" t="s">
        <v>66</v>
      </c>
    </row>
    <row r="48" spans="1:14" x14ac:dyDescent="0.3">
      <c r="A48" s="35">
        <v>46340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N48" s="9"/>
    </row>
    <row r="49" spans="1:14" x14ac:dyDescent="0.3">
      <c r="A49" s="35">
        <v>46342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N49" s="9"/>
    </row>
    <row r="50" spans="1:14" x14ac:dyDescent="0.3">
      <c r="A50" s="35">
        <v>46343</v>
      </c>
      <c r="B50" s="9" t="s">
        <v>66</v>
      </c>
      <c r="C50" s="9" t="s">
        <v>66</v>
      </c>
      <c r="D50" s="9"/>
      <c r="E50" s="9"/>
      <c r="F50" s="9" t="s">
        <v>66</v>
      </c>
      <c r="G50" s="9" t="s">
        <v>66</v>
      </c>
      <c r="H50" s="9"/>
      <c r="I50" s="9"/>
      <c r="J50" s="9" t="s">
        <v>66</v>
      </c>
      <c r="K50" s="9" t="s">
        <v>66</v>
      </c>
      <c r="L50" s="9"/>
      <c r="M50" t="s">
        <v>66</v>
      </c>
      <c r="N50" s="9" t="s">
        <v>66</v>
      </c>
    </row>
    <row r="51" spans="1:14" x14ac:dyDescent="0.3">
      <c r="A51" s="35">
        <v>46345</v>
      </c>
      <c r="B51" s="9"/>
      <c r="C51" s="9" t="s">
        <v>66</v>
      </c>
      <c r="D51" s="9"/>
      <c r="E51" s="9"/>
      <c r="F51" s="9" t="s">
        <v>66</v>
      </c>
      <c r="G51" s="9" t="s">
        <v>66</v>
      </c>
      <c r="H51" s="9" t="s">
        <v>66</v>
      </c>
      <c r="I51" s="9" t="s">
        <v>66</v>
      </c>
      <c r="J51" s="9" t="s">
        <v>66</v>
      </c>
      <c r="K51" s="9" t="s">
        <v>66</v>
      </c>
      <c r="L51" s="9" t="s">
        <v>66</v>
      </c>
      <c r="M51" t="s">
        <v>66</v>
      </c>
      <c r="N51" s="9" t="s">
        <v>66</v>
      </c>
    </row>
    <row r="52" spans="1:14" x14ac:dyDescent="0.3">
      <c r="A52" s="35">
        <v>46347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N52" s="9"/>
    </row>
    <row r="53" spans="1:14" x14ac:dyDescent="0.3">
      <c r="A53" s="35">
        <v>46349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N53" s="9"/>
    </row>
    <row r="54" spans="1:14" x14ac:dyDescent="0.3">
      <c r="A54" s="35">
        <v>46350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N54" s="9"/>
    </row>
    <row r="55" spans="1:14" x14ac:dyDescent="0.3">
      <c r="A55" s="35">
        <v>46352</v>
      </c>
      <c r="B55" s="9"/>
      <c r="C55" s="9" t="s">
        <v>66</v>
      </c>
      <c r="D55" s="9" t="s">
        <v>66</v>
      </c>
      <c r="E55" s="9" t="s">
        <v>66</v>
      </c>
      <c r="F55" s="9" t="s">
        <v>66</v>
      </c>
      <c r="G55" s="9" t="s">
        <v>66</v>
      </c>
      <c r="H55" s="9" t="s">
        <v>66</v>
      </c>
      <c r="I55" s="9" t="s">
        <v>66</v>
      </c>
      <c r="J55" s="9" t="s">
        <v>66</v>
      </c>
      <c r="K55" s="9" t="s">
        <v>66</v>
      </c>
      <c r="L55" s="9" t="s">
        <v>66</v>
      </c>
      <c r="M55" t="s">
        <v>66</v>
      </c>
      <c r="N55" s="9" t="s">
        <v>66</v>
      </c>
    </row>
    <row r="56" spans="1:14" x14ac:dyDescent="0.3">
      <c r="A56" s="35">
        <v>46354</v>
      </c>
      <c r="B56" s="9" t="s">
        <v>66</v>
      </c>
      <c r="C56" s="9"/>
      <c r="D56" s="9" t="s">
        <v>66</v>
      </c>
      <c r="E56" s="9" t="s">
        <v>66</v>
      </c>
      <c r="F56" s="9" t="s">
        <v>66</v>
      </c>
      <c r="G56" s="9" t="s">
        <v>66</v>
      </c>
      <c r="H56" s="9" t="s">
        <v>66</v>
      </c>
      <c r="I56" s="9" t="s">
        <v>66</v>
      </c>
      <c r="J56" s="9" t="s">
        <v>66</v>
      </c>
      <c r="K56" s="9" t="s">
        <v>66</v>
      </c>
      <c r="L56" s="9" t="s">
        <v>66</v>
      </c>
      <c r="M56" t="s">
        <v>66</v>
      </c>
      <c r="N56" s="9" t="s">
        <v>66</v>
      </c>
    </row>
    <row r="57" spans="1:14" x14ac:dyDescent="0.3">
      <c r="A57" s="35">
        <v>46356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N57" s="9"/>
    </row>
    <row r="58" spans="1:14" x14ac:dyDescent="0.3">
      <c r="A58" s="35">
        <v>46357</v>
      </c>
      <c r="B58" s="9" t="s">
        <v>66</v>
      </c>
      <c r="C58" s="9" t="s">
        <v>66</v>
      </c>
      <c r="D58" s="9"/>
      <c r="E58" s="9"/>
      <c r="F58" s="9" t="s">
        <v>66</v>
      </c>
      <c r="G58" s="9" t="s">
        <v>66</v>
      </c>
      <c r="H58" s="9" t="s">
        <v>66</v>
      </c>
      <c r="I58" s="9" t="s">
        <v>66</v>
      </c>
      <c r="J58" s="9" t="s">
        <v>66</v>
      </c>
      <c r="K58" s="9" t="s">
        <v>66</v>
      </c>
      <c r="L58" s="9"/>
      <c r="M58" t="s">
        <v>66</v>
      </c>
      <c r="N58" s="9" t="s">
        <v>66</v>
      </c>
    </row>
    <row r="59" spans="1:14" x14ac:dyDescent="0.3">
      <c r="A59" s="35">
        <v>46359</v>
      </c>
      <c r="B59" s="9" t="s">
        <v>66</v>
      </c>
      <c r="C59" s="9" t="s">
        <v>66</v>
      </c>
      <c r="D59" s="9"/>
      <c r="E59" s="9"/>
      <c r="F59" s="9" t="s">
        <v>66</v>
      </c>
      <c r="G59" s="9" t="s">
        <v>66</v>
      </c>
      <c r="H59" s="9" t="s">
        <v>66</v>
      </c>
      <c r="I59" s="9" t="s">
        <v>66</v>
      </c>
      <c r="J59" s="9" t="s">
        <v>66</v>
      </c>
      <c r="K59" s="9" t="s">
        <v>66</v>
      </c>
      <c r="L59" s="9"/>
      <c r="M59" t="s">
        <v>66</v>
      </c>
      <c r="N59" s="9" t="s">
        <v>66</v>
      </c>
    </row>
    <row r="60" spans="1:14" x14ac:dyDescent="0.3">
      <c r="A60" s="35">
        <v>46361</v>
      </c>
      <c r="B60" s="9" t="s">
        <v>66</v>
      </c>
      <c r="C60" s="9" t="s">
        <v>66</v>
      </c>
      <c r="D60" s="9" t="s">
        <v>66</v>
      </c>
      <c r="E60" s="9" t="s">
        <v>66</v>
      </c>
      <c r="F60" s="9" t="s">
        <v>66</v>
      </c>
      <c r="G60" s="9" t="s">
        <v>66</v>
      </c>
      <c r="H60" s="9" t="s">
        <v>66</v>
      </c>
      <c r="I60" s="9" t="s">
        <v>66</v>
      </c>
      <c r="J60" s="9" t="s">
        <v>66</v>
      </c>
      <c r="K60" s="9" t="s">
        <v>66</v>
      </c>
      <c r="L60" s="9"/>
      <c r="M60" t="s">
        <v>66</v>
      </c>
      <c r="N60" s="9" t="s">
        <v>66</v>
      </c>
    </row>
    <row r="61" spans="1:14" x14ac:dyDescent="0.3">
      <c r="A61" s="35">
        <v>46363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N61" s="9"/>
    </row>
    <row r="62" spans="1:14" x14ac:dyDescent="0.3">
      <c r="A62" s="35">
        <v>46364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N62" s="9"/>
    </row>
    <row r="63" spans="1:14" x14ac:dyDescent="0.3">
      <c r="A63" s="35">
        <v>46366</v>
      </c>
      <c r="B63" s="9"/>
      <c r="C63" s="9"/>
      <c r="D63" s="9" t="s">
        <v>66</v>
      </c>
      <c r="E63" s="9" t="s">
        <v>66</v>
      </c>
      <c r="F63" s="9" t="s">
        <v>66</v>
      </c>
      <c r="G63" s="9" t="s">
        <v>66</v>
      </c>
      <c r="H63" s="9" t="s">
        <v>66</v>
      </c>
      <c r="I63" s="9" t="s">
        <v>66</v>
      </c>
      <c r="J63" s="9" t="s">
        <v>66</v>
      </c>
      <c r="K63" s="9" t="s">
        <v>66</v>
      </c>
      <c r="L63" s="9"/>
      <c r="M63" t="s">
        <v>66</v>
      </c>
      <c r="N63" s="9" t="s">
        <v>66</v>
      </c>
    </row>
    <row r="64" spans="1:14" x14ac:dyDescent="0.3">
      <c r="A64" s="35">
        <v>46368</v>
      </c>
      <c r="B64" s="9"/>
      <c r="C64" s="9"/>
      <c r="D64" s="9" t="s">
        <v>66</v>
      </c>
      <c r="E64" s="9" t="s">
        <v>66</v>
      </c>
      <c r="F64" s="9" t="s">
        <v>66</v>
      </c>
      <c r="G64" s="9" t="s">
        <v>66</v>
      </c>
      <c r="H64" s="9" t="s">
        <v>66</v>
      </c>
      <c r="I64" s="9" t="s">
        <v>66</v>
      </c>
      <c r="J64" s="9" t="s">
        <v>66</v>
      </c>
      <c r="K64" s="9" t="s">
        <v>66</v>
      </c>
      <c r="L64" s="9" t="s">
        <v>66</v>
      </c>
      <c r="M64" t="s">
        <v>66</v>
      </c>
      <c r="N64" s="9" t="s">
        <v>66</v>
      </c>
    </row>
    <row r="65" spans="1:14" x14ac:dyDescent="0.3">
      <c r="A65" s="35">
        <v>46370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N65" s="9"/>
    </row>
    <row r="66" spans="1:14" x14ac:dyDescent="0.3">
      <c r="A66" s="35">
        <v>46371</v>
      </c>
      <c r="B66" s="9"/>
      <c r="C66" s="9"/>
      <c r="D66" s="9"/>
      <c r="E66" s="9"/>
      <c r="F66" s="9" t="s">
        <v>66</v>
      </c>
      <c r="G66" s="9" t="s">
        <v>66</v>
      </c>
      <c r="H66" s="9" t="s">
        <v>66</v>
      </c>
      <c r="I66" s="9" t="s">
        <v>66</v>
      </c>
      <c r="J66" s="9"/>
      <c r="K66" s="9" t="s">
        <v>66</v>
      </c>
      <c r="L66" s="9" t="s">
        <v>66</v>
      </c>
      <c r="M66" t="s">
        <v>66</v>
      </c>
      <c r="N66" s="9" t="s">
        <v>66</v>
      </c>
    </row>
    <row r="67" spans="1:14" x14ac:dyDescent="0.3">
      <c r="A67" s="35">
        <v>46373</v>
      </c>
      <c r="B67" s="9"/>
      <c r="C67" s="9"/>
      <c r="D67" s="9" t="s">
        <v>66</v>
      </c>
      <c r="E67" s="9" t="s">
        <v>66</v>
      </c>
      <c r="F67" s="9" t="s">
        <v>66</v>
      </c>
      <c r="G67" s="9" t="s">
        <v>66</v>
      </c>
      <c r="H67" s="9" t="s">
        <v>66</v>
      </c>
      <c r="I67" s="9" t="s">
        <v>66</v>
      </c>
      <c r="J67" s="9"/>
      <c r="K67" s="9" t="s">
        <v>66</v>
      </c>
      <c r="L67" s="9" t="s">
        <v>66</v>
      </c>
      <c r="M67" t="s">
        <v>66</v>
      </c>
      <c r="N67" s="9" t="s">
        <v>66</v>
      </c>
    </row>
    <row r="68" spans="1:14" x14ac:dyDescent="0.3">
      <c r="A68" s="35">
        <v>46375</v>
      </c>
      <c r="B68" s="9"/>
      <c r="C68" s="9"/>
      <c r="D68" s="9" t="s">
        <v>66</v>
      </c>
      <c r="E68" s="9" t="s">
        <v>66</v>
      </c>
      <c r="F68" s="9" t="s">
        <v>66</v>
      </c>
      <c r="G68" s="9" t="s">
        <v>66</v>
      </c>
      <c r="H68" s="9" t="s">
        <v>66</v>
      </c>
      <c r="I68" s="9" t="s">
        <v>66</v>
      </c>
      <c r="J68" s="9" t="s">
        <v>66</v>
      </c>
      <c r="K68" s="9" t="s">
        <v>66</v>
      </c>
      <c r="L68" s="9" t="s">
        <v>66</v>
      </c>
      <c r="M68" t="s">
        <v>66</v>
      </c>
      <c r="N68" s="9" t="s">
        <v>66</v>
      </c>
    </row>
    <row r="69" spans="1:14" x14ac:dyDescent="0.3">
      <c r="A69" s="35">
        <v>46377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N69" s="9"/>
    </row>
    <row r="70" spans="1:14" x14ac:dyDescent="0.3">
      <c r="A70" s="35">
        <v>46378</v>
      </c>
      <c r="B70" s="9"/>
      <c r="C70" s="9"/>
      <c r="D70" s="9"/>
      <c r="E70" s="9"/>
      <c r="F70" s="9" t="s">
        <v>66</v>
      </c>
      <c r="G70" s="9"/>
      <c r="H70" s="9" t="s">
        <v>66</v>
      </c>
      <c r="I70" s="9"/>
      <c r="J70" s="9" t="s">
        <v>66</v>
      </c>
      <c r="K70" s="9" t="s">
        <v>66</v>
      </c>
      <c r="L70" s="9" t="s">
        <v>66</v>
      </c>
      <c r="M70" t="s">
        <v>66</v>
      </c>
      <c r="N70" s="9" t="s">
        <v>66</v>
      </c>
    </row>
    <row r="71" spans="1:14" x14ac:dyDescent="0.3">
      <c r="A71" s="35">
        <v>46380</v>
      </c>
      <c r="B71" s="9"/>
      <c r="C71" s="9"/>
      <c r="D71" s="9"/>
      <c r="E71" s="9"/>
      <c r="F71" s="9" t="s">
        <v>66</v>
      </c>
      <c r="G71" s="9" t="s">
        <v>66</v>
      </c>
      <c r="H71" s="9"/>
      <c r="I71" s="9" t="s">
        <v>66</v>
      </c>
      <c r="J71" s="9" t="s">
        <v>66</v>
      </c>
      <c r="K71" s="9" t="s">
        <v>66</v>
      </c>
      <c r="L71" s="9"/>
      <c r="M71" t="s">
        <v>66</v>
      </c>
      <c r="N71" s="9" t="s">
        <v>66</v>
      </c>
    </row>
    <row r="72" spans="1:14" x14ac:dyDescent="0.3">
      <c r="A72" s="35">
        <v>46383</v>
      </c>
      <c r="B72" s="9"/>
      <c r="C72" s="9" t="s">
        <v>66</v>
      </c>
      <c r="D72" s="9"/>
      <c r="E72" s="9"/>
      <c r="F72" s="9" t="s">
        <v>66</v>
      </c>
      <c r="G72" s="9" t="s">
        <v>66</v>
      </c>
      <c r="H72" s="9"/>
      <c r="I72" s="9" t="s">
        <v>66</v>
      </c>
      <c r="J72" s="9" t="s">
        <v>66</v>
      </c>
      <c r="K72" s="9" t="s">
        <v>66</v>
      </c>
      <c r="L72" s="9" t="s">
        <v>66</v>
      </c>
      <c r="M72" t="s">
        <v>66</v>
      </c>
      <c r="N72" s="9" t="s">
        <v>66</v>
      </c>
    </row>
    <row r="73" spans="1:14" x14ac:dyDescent="0.3">
      <c r="A73" s="35">
        <v>46384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N73" s="9"/>
    </row>
    <row r="74" spans="1:14" x14ac:dyDescent="0.3">
      <c r="A74" s="35">
        <v>46385</v>
      </c>
      <c r="B74" s="9"/>
      <c r="C74" s="9" t="s">
        <v>66</v>
      </c>
      <c r="D74" s="9" t="s">
        <v>66</v>
      </c>
      <c r="E74" s="9" t="s">
        <v>66</v>
      </c>
      <c r="F74" s="9" t="s">
        <v>66</v>
      </c>
      <c r="G74" s="9" t="s">
        <v>66</v>
      </c>
      <c r="H74" s="9" t="s">
        <v>66</v>
      </c>
      <c r="I74" s="9" t="s">
        <v>66</v>
      </c>
      <c r="J74" s="9" t="s">
        <v>66</v>
      </c>
      <c r="K74" s="9" t="s">
        <v>66</v>
      </c>
      <c r="L74" s="9" t="s">
        <v>66</v>
      </c>
      <c r="M74" t="s">
        <v>66</v>
      </c>
      <c r="N74" s="9" t="s">
        <v>66</v>
      </c>
    </row>
    <row r="75" spans="1:14" x14ac:dyDescent="0.3">
      <c r="A75" s="35">
        <v>46387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N75" s="9"/>
    </row>
    <row r="76" spans="1:14" x14ac:dyDescent="0.3">
      <c r="A76" s="35">
        <v>46025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N76" s="9"/>
    </row>
    <row r="77" spans="1:14" x14ac:dyDescent="0.3">
      <c r="A77" s="35">
        <v>46026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N77" s="9"/>
    </row>
    <row r="78" spans="1:14" x14ac:dyDescent="0.3">
      <c r="A78" s="35">
        <v>46027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N78" s="9"/>
    </row>
    <row r="79" spans="1:14" x14ac:dyDescent="0.3">
      <c r="A79" s="35">
        <v>46029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N79" s="9"/>
    </row>
    <row r="80" spans="1:14" x14ac:dyDescent="0.3">
      <c r="A80" s="35">
        <v>46031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N80" s="9"/>
    </row>
    <row r="81" spans="1:14" x14ac:dyDescent="0.3">
      <c r="A81" s="35">
        <v>46033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N81" s="9"/>
    </row>
    <row r="82" spans="1:14" s="9" customFormat="1" x14ac:dyDescent="0.3">
      <c r="A82" s="9" t="s">
        <v>123</v>
      </c>
      <c r="B82" s="9">
        <f>SUBTOTAL(103,Tabella15_1[Yousef])</f>
        <v>22</v>
      </c>
      <c r="C82" s="9">
        <f>SUBTOTAL(103,Tabella15_1[Rayenne])</f>
        <v>32</v>
      </c>
      <c r="D82" s="9">
        <f>SUBTOTAL(103,Tabella15_1[Erik L.])</f>
        <v>33</v>
      </c>
      <c r="E82" s="9">
        <f>SUBTOTAL(103,Tabella15_1[Davide L.])</f>
        <v>33</v>
      </c>
      <c r="F82" s="9">
        <f>SUBTOTAL(103,Tabella15_1[Lorenzo B.])</f>
        <v>46</v>
      </c>
      <c r="G82" s="9">
        <f>SUBTOTAL(103,Tabella15_1[Mattia A.])</f>
        <v>45</v>
      </c>
      <c r="H82" s="9">
        <f>SUBTOTAL(103,Tabella15_1[Massimo V.])</f>
        <v>44</v>
      </c>
      <c r="I82" s="9">
        <f>SUBTOTAL(103,Tabella15_1[Mattia D.])</f>
        <v>47</v>
      </c>
      <c r="J82" s="9">
        <f>SUBTOTAL(103,Tabella15_1[Pietro B.])</f>
        <v>47</v>
      </c>
      <c r="K82" s="9">
        <f>SUBTOTAL(103,Tabella15_1[Nicola V.])</f>
        <v>50</v>
      </c>
      <c r="L82" s="9">
        <f>SUBTOTAL(103,Tabella15_1[Nicolò M.])</f>
        <v>44</v>
      </c>
      <c r="M82"/>
      <c r="N82" s="9">
        <f>SUBTOTAL(103,Tabella15_1[Giammaria L.])</f>
        <v>51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436DF-2BD4-4598-951F-97DC0D1A3B0A}">
  <dimension ref="A1:E82"/>
  <sheetViews>
    <sheetView tabSelected="1" workbookViewId="0">
      <selection sqref="A1:E82"/>
    </sheetView>
  </sheetViews>
  <sheetFormatPr defaultRowHeight="14.4" x14ac:dyDescent="0.3"/>
  <cols>
    <col min="1" max="1" width="10.33203125" bestFit="1" customWidth="1"/>
    <col min="2" max="2" width="10" style="9" bestFit="1" customWidth="1"/>
    <col min="3" max="3" width="12.77734375" style="9" bestFit="1" customWidth="1"/>
    <col min="4" max="4" width="12.44140625" style="9" bestFit="1" customWidth="1"/>
    <col min="5" max="5" width="13.21875" style="9" bestFit="1" customWidth="1"/>
    <col min="6" max="10" width="10.6640625" bestFit="1" customWidth="1"/>
    <col min="11" max="11" width="8.21875" bestFit="1" customWidth="1"/>
    <col min="12" max="12" width="7.77734375" bestFit="1" customWidth="1"/>
    <col min="13" max="13" width="10.5546875" bestFit="1" customWidth="1"/>
    <col min="14" max="14" width="10.21875" bestFit="1" customWidth="1"/>
    <col min="15" max="15" width="11" bestFit="1" customWidth="1"/>
  </cols>
  <sheetData>
    <row r="1" spans="1:5" x14ac:dyDescent="0.3">
      <c r="A1" t="s">
        <v>124</v>
      </c>
      <c r="B1" s="9" t="s">
        <v>79</v>
      </c>
      <c r="C1" s="9" t="s">
        <v>80</v>
      </c>
      <c r="D1" s="9" t="s">
        <v>81</v>
      </c>
      <c r="E1" s="9" t="s">
        <v>82</v>
      </c>
    </row>
    <row r="2" spans="1:5" x14ac:dyDescent="0.3">
      <c r="A2" s="35">
        <v>46259</v>
      </c>
      <c r="B2" s="36"/>
      <c r="C2" s="36" t="s">
        <v>66</v>
      </c>
      <c r="D2" s="36"/>
      <c r="E2" s="36" t="s">
        <v>66</v>
      </c>
    </row>
    <row r="3" spans="1:5" x14ac:dyDescent="0.3">
      <c r="A3" s="35">
        <v>46260</v>
      </c>
      <c r="B3" s="36"/>
      <c r="C3" s="36" t="s">
        <v>66</v>
      </c>
      <c r="D3" s="36"/>
      <c r="E3" s="36" t="s">
        <v>66</v>
      </c>
    </row>
    <row r="4" spans="1:5" x14ac:dyDescent="0.3">
      <c r="A4" s="35">
        <v>45896</v>
      </c>
      <c r="B4" s="36"/>
      <c r="C4" s="36"/>
      <c r="D4" s="36"/>
      <c r="E4" s="36"/>
    </row>
    <row r="5" spans="1:5" x14ac:dyDescent="0.3">
      <c r="A5" s="35">
        <v>46262</v>
      </c>
      <c r="B5" s="36"/>
      <c r="C5" s="36" t="s">
        <v>66</v>
      </c>
      <c r="D5" s="36"/>
      <c r="E5" s="36" t="s">
        <v>66</v>
      </c>
    </row>
    <row r="6" spans="1:5" x14ac:dyDescent="0.3">
      <c r="A6" s="35">
        <v>46263</v>
      </c>
      <c r="B6" s="36"/>
      <c r="C6" s="36" t="s">
        <v>66</v>
      </c>
      <c r="D6" s="36"/>
      <c r="E6" s="36" t="s">
        <v>66</v>
      </c>
    </row>
    <row r="7" spans="1:5" x14ac:dyDescent="0.3">
      <c r="A7" s="35">
        <v>46266</v>
      </c>
      <c r="B7" s="36"/>
      <c r="C7" s="36" t="s">
        <v>66</v>
      </c>
      <c r="D7" s="36"/>
      <c r="E7" s="36" t="s">
        <v>66</v>
      </c>
    </row>
    <row r="8" spans="1:5" x14ac:dyDescent="0.3">
      <c r="A8" s="35">
        <v>46267</v>
      </c>
      <c r="B8" s="36"/>
      <c r="C8" s="36" t="s">
        <v>66</v>
      </c>
      <c r="D8" s="36"/>
      <c r="E8" s="36" t="s">
        <v>66</v>
      </c>
    </row>
    <row r="9" spans="1:5" x14ac:dyDescent="0.3">
      <c r="A9" s="35">
        <v>46269</v>
      </c>
      <c r="B9" s="36"/>
      <c r="C9" s="36" t="s">
        <v>66</v>
      </c>
      <c r="D9" s="36"/>
      <c r="E9" s="36" t="s">
        <v>66</v>
      </c>
    </row>
    <row r="10" spans="1:5" x14ac:dyDescent="0.3">
      <c r="A10" s="35">
        <v>46270</v>
      </c>
      <c r="B10" s="36"/>
      <c r="C10" s="36" t="s">
        <v>66</v>
      </c>
      <c r="D10" s="36"/>
      <c r="E10" s="36" t="s">
        <v>66</v>
      </c>
    </row>
    <row r="11" spans="1:5" x14ac:dyDescent="0.3">
      <c r="A11" s="35">
        <v>46273</v>
      </c>
      <c r="B11" s="36"/>
      <c r="C11" s="36" t="s">
        <v>66</v>
      </c>
      <c r="D11" s="36"/>
      <c r="E11" s="36" t="s">
        <v>66</v>
      </c>
    </row>
    <row r="12" spans="1:5" x14ac:dyDescent="0.3">
      <c r="A12" s="35">
        <v>45910</v>
      </c>
      <c r="B12" s="36"/>
      <c r="C12" s="36"/>
      <c r="D12" s="36"/>
      <c r="E12" s="36"/>
    </row>
    <row r="13" spans="1:5" x14ac:dyDescent="0.3">
      <c r="A13" s="35">
        <v>46277</v>
      </c>
      <c r="B13" s="36"/>
      <c r="C13" s="36" t="s">
        <v>66</v>
      </c>
      <c r="D13" s="36" t="s">
        <v>66</v>
      </c>
      <c r="E13" s="36" t="s">
        <v>66</v>
      </c>
    </row>
    <row r="14" spans="1:5" x14ac:dyDescent="0.3">
      <c r="A14" s="35">
        <v>45914</v>
      </c>
      <c r="B14" s="36"/>
      <c r="C14" s="36"/>
      <c r="D14" s="36"/>
      <c r="E14" s="36"/>
    </row>
    <row r="15" spans="1:5" x14ac:dyDescent="0.3">
      <c r="A15" s="35">
        <v>46280</v>
      </c>
      <c r="B15" s="36"/>
      <c r="C15" s="36" t="s">
        <v>66</v>
      </c>
      <c r="D15" s="36" t="s">
        <v>66</v>
      </c>
      <c r="E15" s="36" t="s">
        <v>66</v>
      </c>
    </row>
    <row r="16" spans="1:5" x14ac:dyDescent="0.3">
      <c r="A16" s="35">
        <v>46282</v>
      </c>
      <c r="B16" s="36"/>
      <c r="C16" s="36" t="s">
        <v>66</v>
      </c>
      <c r="D16" s="36" t="s">
        <v>66</v>
      </c>
      <c r="E16" s="36" t="s">
        <v>66</v>
      </c>
    </row>
    <row r="17" spans="1:5" x14ac:dyDescent="0.3">
      <c r="A17" s="35">
        <v>46284</v>
      </c>
      <c r="B17" s="36"/>
      <c r="C17" s="36" t="s">
        <v>66</v>
      </c>
      <c r="D17" s="36" t="s">
        <v>66</v>
      </c>
      <c r="E17" s="36" t="s">
        <v>66</v>
      </c>
    </row>
    <row r="18" spans="1:5" x14ac:dyDescent="0.3">
      <c r="A18" s="35">
        <v>45921</v>
      </c>
      <c r="B18" s="36"/>
      <c r="C18" s="36"/>
      <c r="D18" s="36"/>
      <c r="E18" s="36"/>
    </row>
    <row r="19" spans="1:5" x14ac:dyDescent="0.3">
      <c r="A19" s="35">
        <v>46287</v>
      </c>
      <c r="B19" s="36" t="s">
        <v>66</v>
      </c>
      <c r="C19" s="36" t="s">
        <v>66</v>
      </c>
      <c r="D19" s="36" t="s">
        <v>66</v>
      </c>
      <c r="E19" s="36" t="s">
        <v>66</v>
      </c>
    </row>
    <row r="20" spans="1:5" x14ac:dyDescent="0.3">
      <c r="A20" s="35">
        <v>46289</v>
      </c>
      <c r="B20" s="36"/>
      <c r="C20" s="36"/>
      <c r="D20" s="36" t="s">
        <v>66</v>
      </c>
      <c r="E20" s="36" t="s">
        <v>66</v>
      </c>
    </row>
    <row r="21" spans="1:5" x14ac:dyDescent="0.3">
      <c r="A21" s="35">
        <v>46291</v>
      </c>
      <c r="B21" s="36"/>
      <c r="C21" s="36"/>
      <c r="D21" s="36" t="s">
        <v>66</v>
      </c>
      <c r="E21" s="36" t="s">
        <v>66</v>
      </c>
    </row>
    <row r="22" spans="1:5" x14ac:dyDescent="0.3">
      <c r="A22" s="35">
        <v>45928</v>
      </c>
      <c r="B22" s="36"/>
      <c r="C22" s="36"/>
      <c r="D22" s="36"/>
      <c r="E22" s="36"/>
    </row>
    <row r="23" spans="1:5" x14ac:dyDescent="0.3">
      <c r="A23" s="35">
        <v>46294</v>
      </c>
      <c r="B23" s="36" t="s">
        <v>66</v>
      </c>
      <c r="C23" s="36" t="s">
        <v>66</v>
      </c>
      <c r="D23" s="36" t="s">
        <v>66</v>
      </c>
      <c r="E23" s="36" t="s">
        <v>66</v>
      </c>
    </row>
    <row r="24" spans="1:5" x14ac:dyDescent="0.3">
      <c r="A24" s="35">
        <v>46296</v>
      </c>
      <c r="B24" s="36"/>
      <c r="C24" s="36"/>
      <c r="D24" s="36" t="s">
        <v>66</v>
      </c>
      <c r="E24" s="36" t="s">
        <v>66</v>
      </c>
    </row>
    <row r="25" spans="1:5" x14ac:dyDescent="0.3">
      <c r="A25" s="35">
        <v>46298</v>
      </c>
      <c r="B25" s="36"/>
      <c r="C25" s="36"/>
      <c r="D25" s="36"/>
      <c r="E25" s="36" t="s">
        <v>66</v>
      </c>
    </row>
    <row r="26" spans="1:5" x14ac:dyDescent="0.3">
      <c r="A26" s="35">
        <v>45935</v>
      </c>
      <c r="B26" s="36"/>
      <c r="C26" s="36"/>
      <c r="D26" s="36"/>
      <c r="E26" s="36"/>
    </row>
    <row r="27" spans="1:5" x14ac:dyDescent="0.3">
      <c r="A27" s="35">
        <v>46301</v>
      </c>
      <c r="B27" s="36" t="s">
        <v>66</v>
      </c>
      <c r="C27" s="36" t="s">
        <v>66</v>
      </c>
      <c r="D27" s="36"/>
      <c r="E27" s="36" t="s">
        <v>66</v>
      </c>
    </row>
    <row r="28" spans="1:5" x14ac:dyDescent="0.3">
      <c r="A28" s="35">
        <v>46303</v>
      </c>
      <c r="B28" s="36"/>
      <c r="C28" s="36"/>
      <c r="D28" s="36"/>
      <c r="E28" s="36" t="s">
        <v>66</v>
      </c>
    </row>
    <row r="29" spans="1:5" x14ac:dyDescent="0.3">
      <c r="A29" s="35">
        <v>46305</v>
      </c>
      <c r="B29" s="36"/>
      <c r="C29" s="36"/>
      <c r="D29" s="36"/>
      <c r="E29" s="36" t="s">
        <v>66</v>
      </c>
    </row>
    <row r="30" spans="1:5" x14ac:dyDescent="0.3">
      <c r="A30" s="35">
        <v>45942</v>
      </c>
      <c r="B30" s="36"/>
      <c r="C30" s="36"/>
      <c r="D30" s="36"/>
      <c r="E30" s="36"/>
    </row>
    <row r="31" spans="1:5" x14ac:dyDescent="0.3">
      <c r="A31" s="35">
        <v>46308</v>
      </c>
      <c r="B31" s="36" t="s">
        <v>66</v>
      </c>
      <c r="C31" s="36" t="s">
        <v>66</v>
      </c>
      <c r="D31" s="36" t="s">
        <v>66</v>
      </c>
      <c r="E31" s="36"/>
    </row>
    <row r="32" spans="1:5" x14ac:dyDescent="0.3">
      <c r="A32" s="35">
        <v>46310</v>
      </c>
      <c r="B32" s="36"/>
      <c r="C32" s="36" t="s">
        <v>66</v>
      </c>
      <c r="D32" s="36" t="s">
        <v>66</v>
      </c>
      <c r="E32" s="36" t="s">
        <v>66</v>
      </c>
    </row>
    <row r="33" spans="1:5" x14ac:dyDescent="0.3">
      <c r="A33" s="35">
        <v>46312</v>
      </c>
      <c r="B33" s="36"/>
      <c r="C33" s="36"/>
      <c r="D33" s="36" t="s">
        <v>66</v>
      </c>
      <c r="E33" s="36" t="s">
        <v>66</v>
      </c>
    </row>
    <row r="34" spans="1:5" x14ac:dyDescent="0.3">
      <c r="A34" s="35">
        <v>45949</v>
      </c>
      <c r="B34" s="36"/>
      <c r="C34" s="36"/>
      <c r="D34" s="36"/>
      <c r="E34" s="36"/>
    </row>
    <row r="35" spans="1:5" x14ac:dyDescent="0.3">
      <c r="A35" s="35">
        <v>46315</v>
      </c>
      <c r="B35" s="36" t="s">
        <v>66</v>
      </c>
      <c r="C35" s="36" t="s">
        <v>66</v>
      </c>
      <c r="D35" s="36" t="s">
        <v>66</v>
      </c>
      <c r="E35" s="36" t="s">
        <v>66</v>
      </c>
    </row>
    <row r="36" spans="1:5" x14ac:dyDescent="0.3">
      <c r="A36" s="35">
        <v>46317</v>
      </c>
      <c r="B36" s="36"/>
      <c r="C36" s="36"/>
      <c r="D36" s="36" t="s">
        <v>66</v>
      </c>
      <c r="E36" s="36" t="s">
        <v>66</v>
      </c>
    </row>
    <row r="37" spans="1:5" x14ac:dyDescent="0.3">
      <c r="A37" s="35">
        <v>46319</v>
      </c>
      <c r="B37" s="36"/>
      <c r="C37" s="36"/>
      <c r="D37" s="36" t="s">
        <v>66</v>
      </c>
      <c r="E37" s="36" t="s">
        <v>66</v>
      </c>
    </row>
    <row r="38" spans="1:5" x14ac:dyDescent="0.3">
      <c r="A38" s="35">
        <v>45956</v>
      </c>
      <c r="B38" s="36"/>
      <c r="C38" s="36"/>
      <c r="D38" s="36"/>
      <c r="E38" s="36"/>
    </row>
    <row r="39" spans="1:5" x14ac:dyDescent="0.3">
      <c r="A39" s="35">
        <v>46322</v>
      </c>
      <c r="B39" s="36" t="s">
        <v>66</v>
      </c>
      <c r="C39" s="36" t="s">
        <v>66</v>
      </c>
      <c r="D39" s="36" t="s">
        <v>66</v>
      </c>
      <c r="E39" s="36" t="s">
        <v>66</v>
      </c>
    </row>
    <row r="40" spans="1:5" x14ac:dyDescent="0.3">
      <c r="A40" s="35">
        <v>46324</v>
      </c>
      <c r="B40" s="36" t="s">
        <v>66</v>
      </c>
      <c r="C40" s="36"/>
      <c r="D40" s="36" t="s">
        <v>66</v>
      </c>
      <c r="E40" s="36" t="s">
        <v>66</v>
      </c>
    </row>
    <row r="41" spans="1:5" x14ac:dyDescent="0.3">
      <c r="A41" s="35">
        <v>45963</v>
      </c>
      <c r="B41" s="36"/>
      <c r="C41" s="36"/>
      <c r="D41" s="36"/>
      <c r="E41" s="36"/>
    </row>
    <row r="42" spans="1:5" x14ac:dyDescent="0.3">
      <c r="A42" s="35">
        <v>46329</v>
      </c>
      <c r="B42" s="36" t="s">
        <v>66</v>
      </c>
      <c r="C42" s="36"/>
      <c r="D42" s="36" t="s">
        <v>66</v>
      </c>
      <c r="E42" s="36" t="s">
        <v>66</v>
      </c>
    </row>
    <row r="43" spans="1:5" x14ac:dyDescent="0.3">
      <c r="A43" s="35">
        <v>46331</v>
      </c>
      <c r="B43" s="36" t="s">
        <v>66</v>
      </c>
      <c r="C43" s="36"/>
      <c r="D43" s="36" t="s">
        <v>66</v>
      </c>
      <c r="E43" s="36" t="s">
        <v>66</v>
      </c>
    </row>
    <row r="44" spans="1:5" x14ac:dyDescent="0.3">
      <c r="A44" s="35">
        <v>46333</v>
      </c>
      <c r="B44" s="36"/>
      <c r="C44" s="36"/>
      <c r="D44" s="36" t="s">
        <v>66</v>
      </c>
      <c r="E44" s="36" t="s">
        <v>66</v>
      </c>
    </row>
    <row r="45" spans="1:5" x14ac:dyDescent="0.3">
      <c r="A45" s="35">
        <v>45970</v>
      </c>
      <c r="B45" s="36"/>
      <c r="C45" s="36"/>
      <c r="D45" s="36"/>
      <c r="E45" s="36"/>
    </row>
    <row r="46" spans="1:5" x14ac:dyDescent="0.3">
      <c r="A46" s="35">
        <v>46336</v>
      </c>
      <c r="B46" s="36" t="s">
        <v>66</v>
      </c>
      <c r="C46" s="36" t="s">
        <v>66</v>
      </c>
      <c r="D46" s="36" t="s">
        <v>66</v>
      </c>
      <c r="E46" s="36"/>
    </row>
    <row r="47" spans="1:5" x14ac:dyDescent="0.3">
      <c r="A47" s="35">
        <v>46338</v>
      </c>
      <c r="B47" s="36" t="s">
        <v>66</v>
      </c>
      <c r="C47" s="36"/>
      <c r="D47" s="36" t="s">
        <v>66</v>
      </c>
      <c r="E47" s="36" t="s">
        <v>66</v>
      </c>
    </row>
    <row r="48" spans="1:5" x14ac:dyDescent="0.3">
      <c r="A48" s="35">
        <v>45975</v>
      </c>
      <c r="B48" s="36"/>
      <c r="C48" s="36"/>
      <c r="D48" s="36"/>
      <c r="E48" s="36"/>
    </row>
    <row r="49" spans="1:5" x14ac:dyDescent="0.3">
      <c r="A49" s="35">
        <v>45977</v>
      </c>
      <c r="B49" s="36"/>
      <c r="C49" s="36"/>
      <c r="D49" s="36"/>
      <c r="E49" s="36"/>
    </row>
    <row r="50" spans="1:5" x14ac:dyDescent="0.3">
      <c r="A50" s="35">
        <v>46343</v>
      </c>
      <c r="B50" s="36" t="s">
        <v>66</v>
      </c>
      <c r="C50" s="36" t="s">
        <v>66</v>
      </c>
      <c r="D50" s="36" t="s">
        <v>66</v>
      </c>
      <c r="E50" s="36" t="s">
        <v>66</v>
      </c>
    </row>
    <row r="51" spans="1:5" x14ac:dyDescent="0.3">
      <c r="A51" s="35">
        <v>46345</v>
      </c>
      <c r="B51" s="36" t="s">
        <v>66</v>
      </c>
      <c r="C51" s="36"/>
      <c r="D51" s="36" t="s">
        <v>66</v>
      </c>
      <c r="E51" s="36" t="s">
        <v>66</v>
      </c>
    </row>
    <row r="52" spans="1:5" x14ac:dyDescent="0.3">
      <c r="A52" s="35">
        <v>45982</v>
      </c>
      <c r="B52" s="36"/>
      <c r="C52" s="36"/>
      <c r="D52" s="36"/>
      <c r="E52" s="36"/>
    </row>
    <row r="53" spans="1:5" x14ac:dyDescent="0.3">
      <c r="A53" s="35">
        <v>45984</v>
      </c>
      <c r="B53" s="36"/>
      <c r="C53" s="36"/>
      <c r="D53" s="36"/>
      <c r="E53" s="36"/>
    </row>
    <row r="54" spans="1:5" x14ac:dyDescent="0.3">
      <c r="A54" s="35">
        <v>45985</v>
      </c>
      <c r="B54" s="36"/>
      <c r="C54" s="36"/>
      <c r="D54" s="36"/>
      <c r="E54" s="36"/>
    </row>
    <row r="55" spans="1:5" x14ac:dyDescent="0.3">
      <c r="A55" s="35">
        <v>46352</v>
      </c>
      <c r="B55" s="36" t="s">
        <v>66</v>
      </c>
      <c r="C55" s="36"/>
      <c r="D55" s="36" t="s">
        <v>66</v>
      </c>
      <c r="E55" s="36" t="s">
        <v>66</v>
      </c>
    </row>
    <row r="56" spans="1:5" x14ac:dyDescent="0.3">
      <c r="A56" s="35">
        <v>46354</v>
      </c>
      <c r="B56" s="36"/>
      <c r="C56" s="36"/>
      <c r="D56" s="36" t="s">
        <v>66</v>
      </c>
      <c r="E56" s="36" t="s">
        <v>66</v>
      </c>
    </row>
    <row r="57" spans="1:5" x14ac:dyDescent="0.3">
      <c r="A57" s="35">
        <v>45991</v>
      </c>
      <c r="B57" s="36"/>
      <c r="C57" s="36"/>
      <c r="D57" s="36"/>
      <c r="E57" s="36"/>
    </row>
    <row r="58" spans="1:5" x14ac:dyDescent="0.3">
      <c r="A58" s="35">
        <v>46357</v>
      </c>
      <c r="B58" s="36" t="s">
        <v>66</v>
      </c>
      <c r="C58" s="36" t="s">
        <v>66</v>
      </c>
      <c r="D58" s="36" t="s">
        <v>66</v>
      </c>
      <c r="E58" s="36" t="s">
        <v>66</v>
      </c>
    </row>
    <row r="59" spans="1:5" x14ac:dyDescent="0.3">
      <c r="A59" s="35">
        <v>45994</v>
      </c>
      <c r="B59" s="36"/>
      <c r="C59" s="36"/>
      <c r="D59" s="36"/>
      <c r="E59" s="36"/>
    </row>
    <row r="60" spans="1:5" x14ac:dyDescent="0.3">
      <c r="A60" s="35">
        <v>45996</v>
      </c>
      <c r="B60" s="36"/>
      <c r="C60" s="36"/>
      <c r="D60" s="36"/>
      <c r="E60" s="36"/>
    </row>
    <row r="61" spans="1:5" x14ac:dyDescent="0.3">
      <c r="A61" s="35">
        <v>45998</v>
      </c>
      <c r="B61" s="36"/>
      <c r="C61" s="36"/>
      <c r="D61" s="36"/>
      <c r="E61" s="36"/>
    </row>
    <row r="62" spans="1:5" x14ac:dyDescent="0.3">
      <c r="A62" s="35">
        <v>45999</v>
      </c>
      <c r="B62" s="36"/>
      <c r="C62" s="36"/>
      <c r="D62" s="36"/>
      <c r="E62" s="36"/>
    </row>
    <row r="63" spans="1:5" x14ac:dyDescent="0.3">
      <c r="A63" s="35">
        <v>46001</v>
      </c>
      <c r="B63" s="36"/>
      <c r="C63" s="36"/>
      <c r="D63" s="36"/>
      <c r="E63" s="36"/>
    </row>
    <row r="64" spans="1:5" x14ac:dyDescent="0.3">
      <c r="A64" s="35">
        <v>46003</v>
      </c>
      <c r="B64" s="36"/>
      <c r="C64" s="36"/>
      <c r="D64" s="36"/>
      <c r="E64" s="36"/>
    </row>
    <row r="65" spans="1:5" x14ac:dyDescent="0.3">
      <c r="A65" s="35">
        <v>46005</v>
      </c>
      <c r="B65" s="36"/>
      <c r="C65" s="36"/>
      <c r="D65" s="36"/>
      <c r="E65" s="36"/>
    </row>
    <row r="66" spans="1:5" x14ac:dyDescent="0.3">
      <c r="A66" s="35">
        <v>46006</v>
      </c>
      <c r="B66" s="36"/>
      <c r="C66" s="36"/>
      <c r="D66" s="36"/>
      <c r="E66" s="36"/>
    </row>
    <row r="67" spans="1:5" x14ac:dyDescent="0.3">
      <c r="A67" s="35">
        <v>46008</v>
      </c>
      <c r="B67" s="36"/>
      <c r="C67" s="36"/>
      <c r="D67" s="36"/>
      <c r="E67" s="36"/>
    </row>
    <row r="68" spans="1:5" x14ac:dyDescent="0.3">
      <c r="A68" s="35">
        <v>46010</v>
      </c>
      <c r="B68" s="36"/>
      <c r="C68" s="36"/>
      <c r="D68" s="36"/>
      <c r="E68" s="36"/>
    </row>
    <row r="69" spans="1:5" x14ac:dyDescent="0.3">
      <c r="A69" s="35">
        <v>46012</v>
      </c>
      <c r="B69" s="36"/>
      <c r="C69" s="36"/>
      <c r="D69" s="36"/>
      <c r="E69" s="36"/>
    </row>
    <row r="70" spans="1:5" x14ac:dyDescent="0.3">
      <c r="A70" s="35">
        <v>46378</v>
      </c>
      <c r="B70" s="36" t="s">
        <v>66</v>
      </c>
      <c r="C70" s="36" t="s">
        <v>66</v>
      </c>
      <c r="D70" s="36" t="s">
        <v>66</v>
      </c>
      <c r="E70" s="36" t="s">
        <v>66</v>
      </c>
    </row>
    <row r="71" spans="1:5" x14ac:dyDescent="0.3">
      <c r="A71" s="35">
        <v>46380</v>
      </c>
      <c r="B71" s="36"/>
      <c r="C71" s="36" t="s">
        <v>66</v>
      </c>
      <c r="D71" s="36" t="s">
        <v>66</v>
      </c>
      <c r="E71" s="36" t="s">
        <v>66</v>
      </c>
    </row>
    <row r="72" spans="1:5" x14ac:dyDescent="0.3">
      <c r="A72" s="35">
        <v>46383</v>
      </c>
      <c r="B72" s="36"/>
      <c r="C72" s="36"/>
      <c r="D72" s="36" t="s">
        <v>66</v>
      </c>
      <c r="E72" s="36" t="s">
        <v>66</v>
      </c>
    </row>
    <row r="73" spans="1:5" x14ac:dyDescent="0.3">
      <c r="A73" s="35">
        <v>46019</v>
      </c>
      <c r="B73" s="36"/>
      <c r="C73" s="36"/>
      <c r="D73" s="36"/>
      <c r="E73" s="36"/>
    </row>
    <row r="74" spans="1:5" x14ac:dyDescent="0.3">
      <c r="A74" s="35">
        <v>46385</v>
      </c>
      <c r="B74" s="36" t="s">
        <v>66</v>
      </c>
      <c r="C74" s="36"/>
      <c r="D74" s="36" t="s">
        <v>66</v>
      </c>
      <c r="E74" s="36" t="s">
        <v>66</v>
      </c>
    </row>
    <row r="75" spans="1:5" x14ac:dyDescent="0.3">
      <c r="A75" s="35">
        <v>46387</v>
      </c>
      <c r="B75" s="36"/>
      <c r="C75" s="36"/>
      <c r="D75" s="36" t="s">
        <v>66</v>
      </c>
      <c r="E75" s="36" t="s">
        <v>66</v>
      </c>
    </row>
    <row r="76" spans="1:5" x14ac:dyDescent="0.3">
      <c r="A76" s="35">
        <v>46025</v>
      </c>
      <c r="B76" s="36"/>
      <c r="C76" s="36"/>
      <c r="D76" s="36" t="s">
        <v>66</v>
      </c>
      <c r="E76" s="36" t="s">
        <v>66</v>
      </c>
    </row>
    <row r="77" spans="1:5" x14ac:dyDescent="0.3">
      <c r="A77" s="35">
        <v>46026</v>
      </c>
      <c r="B77" s="36"/>
      <c r="C77" s="36"/>
      <c r="D77" s="36"/>
      <c r="E77" s="36"/>
    </row>
    <row r="78" spans="1:5" x14ac:dyDescent="0.3">
      <c r="A78" s="35">
        <v>46027</v>
      </c>
      <c r="B78" s="36"/>
      <c r="C78" s="36" t="s">
        <v>66</v>
      </c>
      <c r="D78" s="36" t="s">
        <v>66</v>
      </c>
      <c r="E78" s="36" t="s">
        <v>66</v>
      </c>
    </row>
    <row r="79" spans="1:5" x14ac:dyDescent="0.3">
      <c r="A79" s="35">
        <v>46029</v>
      </c>
      <c r="B79" s="36" t="s">
        <v>66</v>
      </c>
      <c r="C79" s="36"/>
      <c r="D79" s="36" t="s">
        <v>66</v>
      </c>
      <c r="E79" s="36" t="s">
        <v>66</v>
      </c>
    </row>
    <row r="80" spans="1:5" x14ac:dyDescent="0.3">
      <c r="A80" s="35">
        <v>46031</v>
      </c>
      <c r="B80" s="36" t="s">
        <v>66</v>
      </c>
      <c r="C80" s="36"/>
      <c r="D80" s="36" t="s">
        <v>66</v>
      </c>
      <c r="E80" s="36" t="s">
        <v>66</v>
      </c>
    </row>
    <row r="81" spans="1:5" x14ac:dyDescent="0.3">
      <c r="A81" s="35">
        <v>46032</v>
      </c>
      <c r="B81" s="36"/>
      <c r="C81" s="36"/>
      <c r="D81" s="36"/>
      <c r="E81" s="36"/>
    </row>
    <row r="82" spans="1:5" x14ac:dyDescent="0.3">
      <c r="A82" t="s">
        <v>123</v>
      </c>
      <c r="B82" s="9">
        <f>SUBTOTAL(103,Tabella2_1[DUSE])</f>
        <v>19</v>
      </c>
      <c r="C82" s="9">
        <f>SUBTOTAL(103,Tabella2_1[CLAUDIA])</f>
        <v>26</v>
      </c>
      <c r="D82" s="9">
        <f>SUBTOTAL(103,Tabella2_1[JHONNY])</f>
        <v>36</v>
      </c>
      <c r="E82" s="9">
        <f>SUBTOTAL(103,Tabella2_1[STEFANO])</f>
        <v>47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2B324-FB60-4B24-A0CE-6E8C3DD1D3B2}">
  <dimension ref="A1:CG22"/>
  <sheetViews>
    <sheetView workbookViewId="0">
      <pane xSplit="1" ySplit="3" topLeftCell="BQ4" activePane="bottomRight" state="frozen"/>
      <selection pane="topRight" activeCell="B1" sqref="B1"/>
      <selection pane="bottomLeft" activeCell="A3" sqref="A3"/>
      <selection pane="bottomRight" activeCell="A15" sqref="A15"/>
    </sheetView>
  </sheetViews>
  <sheetFormatPr defaultRowHeight="14.4" x14ac:dyDescent="0.3"/>
  <cols>
    <col min="1" max="1" width="12" style="1" bestFit="1" customWidth="1"/>
    <col min="2" max="2" width="11.88671875" style="2" bestFit="1" customWidth="1"/>
    <col min="3" max="9" width="10.6640625" style="9" customWidth="1"/>
    <col min="10" max="39" width="11.6640625" style="9" customWidth="1"/>
    <col min="40" max="40" width="11.44140625" style="9" customWidth="1"/>
    <col min="41" max="46" width="10" style="9" bestFit="1" customWidth="1"/>
    <col min="47" max="48" width="8.88671875" style="9"/>
    <col min="49" max="49" width="10.6640625" style="9" bestFit="1" customWidth="1"/>
    <col min="50" max="50" width="11.6640625" style="9" customWidth="1"/>
    <col min="51" max="52" width="8.88671875" style="9"/>
    <col min="53" max="53" width="10.6640625" style="9" bestFit="1" customWidth="1"/>
    <col min="54" max="54" width="10.21875" style="9" customWidth="1"/>
    <col min="55" max="57" width="10" style="9" bestFit="1" customWidth="1"/>
    <col min="58" max="58" width="12.21875" style="9" customWidth="1"/>
    <col min="59" max="65" width="10" style="9" bestFit="1" customWidth="1"/>
    <col min="66" max="66" width="12.21875" style="9" customWidth="1"/>
    <col min="67" max="71" width="10" style="9" bestFit="1" customWidth="1"/>
    <col min="72" max="72" width="10.109375" style="9" bestFit="1" customWidth="1"/>
    <col min="73" max="73" width="12.33203125" style="9" customWidth="1"/>
    <col min="74" max="74" width="11.6640625" style="9" customWidth="1"/>
    <col min="75" max="76" width="10" style="9" bestFit="1" customWidth="1"/>
    <col min="77" max="77" width="14.33203125" style="9" customWidth="1"/>
    <col min="78" max="78" width="11.6640625" style="9" customWidth="1"/>
    <col min="79" max="81" width="10" style="9" bestFit="1" customWidth="1"/>
    <col min="82" max="82" width="11.6640625" style="9" customWidth="1"/>
    <col min="83" max="16384" width="8.88671875" style="9"/>
  </cols>
  <sheetData>
    <row r="1" spans="1:85" s="2" customFormat="1" x14ac:dyDescent="0.3">
      <c r="A1" s="1"/>
      <c r="B1" s="29" t="s">
        <v>106</v>
      </c>
      <c r="C1" s="30" t="s">
        <v>108</v>
      </c>
      <c r="D1" s="30" t="s">
        <v>108</v>
      </c>
      <c r="E1" s="30" t="s">
        <v>108</v>
      </c>
      <c r="F1" s="30" t="s">
        <v>108</v>
      </c>
      <c r="G1" s="30" t="s">
        <v>108</v>
      </c>
      <c r="H1" s="30" t="s">
        <v>108</v>
      </c>
      <c r="I1" s="30" t="s">
        <v>108</v>
      </c>
      <c r="J1" s="30" t="s">
        <v>108</v>
      </c>
      <c r="K1" s="30" t="s">
        <v>108</v>
      </c>
      <c r="L1" s="30" t="s">
        <v>109</v>
      </c>
      <c r="M1" s="30"/>
      <c r="N1" s="30" t="s">
        <v>109</v>
      </c>
      <c r="O1" s="30"/>
      <c r="P1" s="30" t="s">
        <v>109</v>
      </c>
      <c r="Q1" s="30" t="s">
        <v>109</v>
      </c>
      <c r="R1" s="30" t="s">
        <v>109</v>
      </c>
      <c r="S1" s="30"/>
      <c r="T1" s="30" t="s">
        <v>109</v>
      </c>
      <c r="U1" s="30" t="s">
        <v>109</v>
      </c>
      <c r="V1" s="30" t="s">
        <v>109</v>
      </c>
      <c r="W1" s="30"/>
      <c r="X1" s="30" t="s">
        <v>109</v>
      </c>
      <c r="Y1" s="30" t="s">
        <v>109</v>
      </c>
      <c r="Z1" s="30" t="s">
        <v>109</v>
      </c>
      <c r="AA1" s="30"/>
      <c r="AB1" s="30" t="s">
        <v>109</v>
      </c>
      <c r="AC1" s="30" t="s">
        <v>109</v>
      </c>
      <c r="AD1" s="30" t="s">
        <v>109</v>
      </c>
      <c r="AE1" s="30"/>
      <c r="AF1" s="30" t="s">
        <v>109</v>
      </c>
      <c r="AG1" s="30" t="s">
        <v>109</v>
      </c>
      <c r="AH1" s="30" t="s">
        <v>109</v>
      </c>
      <c r="AI1" s="30"/>
      <c r="AJ1" s="30" t="s">
        <v>109</v>
      </c>
      <c r="AK1" s="30" t="s">
        <v>109</v>
      </c>
      <c r="AL1" s="30" t="s">
        <v>109</v>
      </c>
      <c r="AM1" s="30"/>
      <c r="AN1" s="30" t="s">
        <v>109</v>
      </c>
      <c r="AO1" s="30" t="s">
        <v>109</v>
      </c>
      <c r="AP1" s="30"/>
      <c r="AQ1" s="30" t="s">
        <v>109</v>
      </c>
      <c r="AR1" s="30" t="s">
        <v>109</v>
      </c>
      <c r="AS1" s="30" t="s">
        <v>109</v>
      </c>
      <c r="AT1" s="30"/>
      <c r="AU1" s="30" t="s">
        <v>109</v>
      </c>
      <c r="AV1" s="30" t="s">
        <v>109</v>
      </c>
      <c r="AW1" s="30" t="s">
        <v>109</v>
      </c>
      <c r="AX1" s="30"/>
      <c r="AY1" s="30" t="s">
        <v>109</v>
      </c>
      <c r="AZ1" s="30" t="s">
        <v>109</v>
      </c>
      <c r="BA1" s="30" t="s">
        <v>110</v>
      </c>
      <c r="BB1" s="30" t="s">
        <v>111</v>
      </c>
      <c r="BC1" s="30" t="s">
        <v>109</v>
      </c>
      <c r="BD1" s="30" t="s">
        <v>109</v>
      </c>
      <c r="BE1" s="30" t="s">
        <v>109</v>
      </c>
      <c r="BF1" s="30" t="s">
        <v>111</v>
      </c>
      <c r="BG1" s="30" t="s">
        <v>109</v>
      </c>
      <c r="BH1" s="30" t="s">
        <v>109</v>
      </c>
      <c r="BI1" s="30" t="s">
        <v>109</v>
      </c>
      <c r="BJ1" s="30" t="s">
        <v>109</v>
      </c>
      <c r="BK1" s="30" t="s">
        <v>113</v>
      </c>
      <c r="BL1" s="30" t="s">
        <v>114</v>
      </c>
      <c r="BM1" s="30" t="s">
        <v>115</v>
      </c>
      <c r="BN1" s="30" t="s">
        <v>111</v>
      </c>
      <c r="BO1" s="30" t="s">
        <v>109</v>
      </c>
      <c r="BP1" s="30" t="s">
        <v>109</v>
      </c>
      <c r="BQ1" s="30" t="s">
        <v>109</v>
      </c>
      <c r="BR1" s="30" t="s">
        <v>109</v>
      </c>
      <c r="BS1" s="30" t="s">
        <v>109</v>
      </c>
      <c r="BT1" s="30" t="s">
        <v>109</v>
      </c>
      <c r="BU1" s="30" t="s">
        <v>112</v>
      </c>
      <c r="BV1" s="30"/>
      <c r="BW1" s="30" t="s">
        <v>109</v>
      </c>
      <c r="BX1" s="30" t="s">
        <v>109</v>
      </c>
      <c r="BY1" s="30" t="s">
        <v>112</v>
      </c>
      <c r="BZ1" s="30"/>
      <c r="CA1" s="30" t="s">
        <v>109</v>
      </c>
      <c r="CB1" s="30" t="s">
        <v>109</v>
      </c>
      <c r="CC1" s="30" t="s">
        <v>109</v>
      </c>
      <c r="CD1" s="31"/>
    </row>
    <row r="2" spans="1:85" s="2" customFormat="1" x14ac:dyDescent="0.3">
      <c r="A2" s="1"/>
      <c r="B2" s="32" t="s">
        <v>107</v>
      </c>
      <c r="C2" s="28"/>
      <c r="D2" s="28"/>
      <c r="E2" s="28" t="s">
        <v>0</v>
      </c>
      <c r="F2" s="28"/>
      <c r="G2" s="28"/>
      <c r="H2" s="28"/>
      <c r="I2" s="28"/>
      <c r="J2" s="28"/>
      <c r="K2" s="28"/>
      <c r="L2" s="28"/>
      <c r="M2" s="28" t="s">
        <v>1</v>
      </c>
      <c r="N2" s="28"/>
      <c r="O2" s="28" t="s">
        <v>0</v>
      </c>
      <c r="P2" s="28"/>
      <c r="Q2" s="28"/>
      <c r="R2" s="28"/>
      <c r="S2" s="28" t="s">
        <v>0</v>
      </c>
      <c r="T2" s="28"/>
      <c r="U2" s="28"/>
      <c r="V2" s="28"/>
      <c r="W2" s="28" t="s">
        <v>2</v>
      </c>
      <c r="X2" s="28"/>
      <c r="Y2" s="28"/>
      <c r="Z2" s="28"/>
      <c r="AA2" s="28" t="s">
        <v>3</v>
      </c>
      <c r="AB2" s="28"/>
      <c r="AC2" s="28"/>
      <c r="AD2" s="28"/>
      <c r="AE2" s="28" t="s">
        <v>2</v>
      </c>
      <c r="AF2" s="28"/>
      <c r="AG2" s="28"/>
      <c r="AH2" s="28"/>
      <c r="AI2" s="28" t="s">
        <v>2</v>
      </c>
      <c r="AJ2" s="28"/>
      <c r="AK2" s="28"/>
      <c r="AL2" s="28"/>
      <c r="AM2" s="28" t="s">
        <v>2</v>
      </c>
      <c r="AN2" s="28"/>
      <c r="AO2" s="28"/>
      <c r="AP2" s="28" t="s">
        <v>2</v>
      </c>
      <c r="AQ2" s="28"/>
      <c r="AR2" s="28"/>
      <c r="AS2" s="28"/>
      <c r="AT2" s="28" t="s">
        <v>2</v>
      </c>
      <c r="AU2" s="28"/>
      <c r="AV2" s="28"/>
      <c r="AW2" s="28" t="s">
        <v>4</v>
      </c>
      <c r="AX2" s="28" t="s">
        <v>5</v>
      </c>
      <c r="AY2" s="28"/>
      <c r="AZ2" s="28"/>
      <c r="BA2" s="28" t="s">
        <v>4</v>
      </c>
      <c r="BB2" s="28" t="s">
        <v>2</v>
      </c>
      <c r="BC2" s="28" t="s">
        <v>6</v>
      </c>
      <c r="BD2" s="28"/>
      <c r="BE2" s="28"/>
      <c r="BF2" s="28" t="s">
        <v>2</v>
      </c>
      <c r="BG2" s="28"/>
      <c r="BH2" s="28"/>
      <c r="BI2" s="28"/>
      <c r="BJ2" s="28" t="s">
        <v>2</v>
      </c>
      <c r="BK2" s="28" t="s">
        <v>125</v>
      </c>
      <c r="BL2" s="28"/>
      <c r="BM2" s="28"/>
      <c r="BN2" s="28" t="s">
        <v>2</v>
      </c>
      <c r="BO2" s="33"/>
      <c r="BP2" s="28"/>
      <c r="BQ2" s="28"/>
      <c r="BR2" s="28" t="s">
        <v>2</v>
      </c>
      <c r="BS2" s="28" t="s">
        <v>102</v>
      </c>
      <c r="BT2" s="28" t="s">
        <v>101</v>
      </c>
      <c r="BU2" s="28" t="s">
        <v>103</v>
      </c>
      <c r="BV2" s="28" t="s">
        <v>5</v>
      </c>
      <c r="BW2" s="28" t="s">
        <v>102</v>
      </c>
      <c r="BX2" s="28" t="s">
        <v>101</v>
      </c>
      <c r="BY2" s="28" t="s">
        <v>103</v>
      </c>
      <c r="BZ2" s="28" t="s">
        <v>5</v>
      </c>
      <c r="CA2" s="28" t="s">
        <v>102</v>
      </c>
      <c r="CB2" s="28" t="s">
        <v>104</v>
      </c>
      <c r="CC2" s="28" t="s">
        <v>105</v>
      </c>
      <c r="CD2" s="34" t="s">
        <v>111</v>
      </c>
    </row>
    <row r="3" spans="1:85" x14ac:dyDescent="0.3">
      <c r="A3" s="3" t="s">
        <v>7</v>
      </c>
      <c r="B3" s="4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15</v>
      </c>
      <c r="J3" s="5" t="s">
        <v>16</v>
      </c>
      <c r="K3" s="5" t="s">
        <v>17</v>
      </c>
      <c r="L3" s="5" t="s">
        <v>18</v>
      </c>
      <c r="M3" s="5" t="s">
        <v>19</v>
      </c>
      <c r="N3" s="5" t="s">
        <v>20</v>
      </c>
      <c r="O3" s="5" t="s">
        <v>21</v>
      </c>
      <c r="P3" s="5" t="s">
        <v>22</v>
      </c>
      <c r="Q3" s="5" t="s">
        <v>23</v>
      </c>
      <c r="R3" s="5" t="s">
        <v>24</v>
      </c>
      <c r="S3" s="5" t="s">
        <v>25</v>
      </c>
      <c r="T3" s="5" t="s">
        <v>26</v>
      </c>
      <c r="U3" s="5" t="s">
        <v>27</v>
      </c>
      <c r="V3" s="5" t="s">
        <v>28</v>
      </c>
      <c r="W3" s="5" t="s">
        <v>29</v>
      </c>
      <c r="X3" s="5" t="s">
        <v>30</v>
      </c>
      <c r="Y3" s="5" t="s">
        <v>31</v>
      </c>
      <c r="Z3" s="5" t="s">
        <v>32</v>
      </c>
      <c r="AA3" s="6" t="s">
        <v>33</v>
      </c>
      <c r="AB3" s="5" t="s">
        <v>34</v>
      </c>
      <c r="AC3" s="5" t="s">
        <v>35</v>
      </c>
      <c r="AD3" s="5" t="s">
        <v>36</v>
      </c>
      <c r="AE3" s="7" t="s">
        <v>37</v>
      </c>
      <c r="AF3" s="5" t="s">
        <v>38</v>
      </c>
      <c r="AG3" s="5" t="s">
        <v>39</v>
      </c>
      <c r="AH3" s="5" t="s">
        <v>40</v>
      </c>
      <c r="AI3" s="7" t="s">
        <v>41</v>
      </c>
      <c r="AJ3" s="5" t="s">
        <v>42</v>
      </c>
      <c r="AK3" s="5" t="s">
        <v>43</v>
      </c>
      <c r="AL3" s="5" t="s">
        <v>44</v>
      </c>
      <c r="AM3" s="7" t="s">
        <v>45</v>
      </c>
      <c r="AN3" s="5" t="s">
        <v>46</v>
      </c>
      <c r="AO3" s="5" t="s">
        <v>47</v>
      </c>
      <c r="AP3" s="7" t="s">
        <v>48</v>
      </c>
      <c r="AQ3" s="5" t="s">
        <v>49</v>
      </c>
      <c r="AR3" s="5" t="s">
        <v>50</v>
      </c>
      <c r="AS3" s="5" t="s">
        <v>51</v>
      </c>
      <c r="AT3" s="7" t="s">
        <v>52</v>
      </c>
      <c r="AU3" s="5" t="s">
        <v>53</v>
      </c>
      <c r="AV3" s="5" t="s">
        <v>54</v>
      </c>
      <c r="AW3" s="8" t="s">
        <v>55</v>
      </c>
      <c r="AX3" s="6" t="s">
        <v>56</v>
      </c>
      <c r="AY3" s="5" t="s">
        <v>57</v>
      </c>
      <c r="AZ3" s="5" t="s">
        <v>58</v>
      </c>
      <c r="BA3" s="8" t="s">
        <v>59</v>
      </c>
      <c r="BB3" s="7" t="s">
        <v>60</v>
      </c>
      <c r="BC3" s="5" t="s">
        <v>61</v>
      </c>
      <c r="BD3" s="5" t="s">
        <v>62</v>
      </c>
      <c r="BE3" s="5" t="s">
        <v>63</v>
      </c>
      <c r="BF3" s="7" t="s">
        <v>64</v>
      </c>
      <c r="BG3" s="5" t="s">
        <v>83</v>
      </c>
      <c r="BH3" s="5" t="s">
        <v>84</v>
      </c>
      <c r="BI3" s="5" t="s">
        <v>85</v>
      </c>
      <c r="BJ3" s="7" t="s">
        <v>86</v>
      </c>
      <c r="BK3" s="8" t="s">
        <v>87</v>
      </c>
      <c r="BL3" s="5" t="s">
        <v>88</v>
      </c>
      <c r="BM3" s="5" t="s">
        <v>89</v>
      </c>
      <c r="BN3" s="7" t="s">
        <v>90</v>
      </c>
      <c r="BO3" s="5" t="s">
        <v>91</v>
      </c>
      <c r="BP3" s="5" t="s">
        <v>92</v>
      </c>
      <c r="BQ3" s="5" t="s">
        <v>93</v>
      </c>
      <c r="BR3" s="7" t="s">
        <v>94</v>
      </c>
      <c r="BS3" s="5" t="s">
        <v>95</v>
      </c>
      <c r="BT3" s="5" t="s">
        <v>96</v>
      </c>
      <c r="BU3" s="5" t="s">
        <v>97</v>
      </c>
      <c r="BV3" s="7" t="s">
        <v>98</v>
      </c>
      <c r="BW3" s="5" t="s">
        <v>99</v>
      </c>
      <c r="BX3" s="5" t="s">
        <v>100</v>
      </c>
      <c r="BY3" s="5" t="s">
        <v>122</v>
      </c>
      <c r="BZ3" s="7" t="s">
        <v>121</v>
      </c>
      <c r="CA3" s="27" t="s">
        <v>120</v>
      </c>
      <c r="CB3" s="5" t="s">
        <v>119</v>
      </c>
      <c r="CC3" s="5" t="s">
        <v>118</v>
      </c>
      <c r="CD3" s="7" t="s">
        <v>117</v>
      </c>
      <c r="CF3" s="9" t="s">
        <v>126</v>
      </c>
      <c r="CG3" s="9" t="s">
        <v>128</v>
      </c>
    </row>
    <row r="4" spans="1:85" x14ac:dyDescent="0.3">
      <c r="A4" s="1" t="s">
        <v>65</v>
      </c>
      <c r="B4" s="10">
        <f>COUNTA(Tabella15[[#This Row],[25.8]:[30.11]])</f>
        <v>19</v>
      </c>
      <c r="C4" s="11"/>
      <c r="E4" s="12"/>
      <c r="J4" s="13"/>
      <c r="O4" s="12"/>
      <c r="S4" s="12"/>
      <c r="T4" s="9" t="s">
        <v>66</v>
      </c>
      <c r="W4" s="14"/>
      <c r="Y4" s="9" t="s">
        <v>66</v>
      </c>
      <c r="AA4" s="15"/>
      <c r="AB4" s="12" t="s">
        <v>66</v>
      </c>
      <c r="AC4" s="9" t="s">
        <v>66</v>
      </c>
      <c r="AD4" s="12" t="s">
        <v>66</v>
      </c>
      <c r="AE4" s="14"/>
      <c r="AF4" s="12" t="s">
        <v>66</v>
      </c>
      <c r="AH4" s="9" t="s">
        <v>66</v>
      </c>
      <c r="AI4" s="14"/>
      <c r="AJ4" s="9" t="s">
        <v>66</v>
      </c>
      <c r="AK4" s="9" t="s">
        <v>66</v>
      </c>
      <c r="AL4" s="9" t="s">
        <v>66</v>
      </c>
      <c r="AM4" s="14"/>
      <c r="AN4" s="9" t="s">
        <v>66</v>
      </c>
      <c r="AO4" s="9" t="s">
        <v>66</v>
      </c>
      <c r="AP4" s="14"/>
      <c r="AQ4" s="9" t="s">
        <v>66</v>
      </c>
      <c r="AR4" s="9" t="s">
        <v>66</v>
      </c>
      <c r="AS4" s="9" t="s">
        <v>66</v>
      </c>
      <c r="AT4" s="14"/>
      <c r="AU4" s="9" t="s">
        <v>66</v>
      </c>
      <c r="AV4" s="9" t="s">
        <v>66</v>
      </c>
      <c r="AW4" s="16"/>
      <c r="AX4" s="15"/>
      <c r="AY4" s="9" t="s">
        <v>66</v>
      </c>
      <c r="BA4" s="12"/>
      <c r="BB4" s="14"/>
      <c r="BE4" s="9" t="s">
        <v>66</v>
      </c>
      <c r="BF4" s="14"/>
      <c r="BG4" s="9" t="s">
        <v>66</v>
      </c>
      <c r="BH4" s="9" t="s">
        <v>66</v>
      </c>
      <c r="BI4" s="9" t="s">
        <v>66</v>
      </c>
      <c r="BJ4" s="14"/>
      <c r="BK4" s="12"/>
      <c r="BN4" s="14"/>
      <c r="BR4" s="14"/>
      <c r="BV4" s="14"/>
      <c r="BZ4" s="14"/>
      <c r="CD4" s="14"/>
    </row>
    <row r="5" spans="1:85" x14ac:dyDescent="0.3">
      <c r="A5" s="1" t="s">
        <v>67</v>
      </c>
      <c r="B5" s="10">
        <f>COUNTA(Tabella15[[#This Row],[25.8]:[30.11]])</f>
        <v>27</v>
      </c>
      <c r="C5" s="11"/>
      <c r="E5" s="12"/>
      <c r="J5" s="13"/>
      <c r="N5" s="9" t="s">
        <v>66</v>
      </c>
      <c r="O5" s="12"/>
      <c r="P5" s="9" t="s">
        <v>68</v>
      </c>
      <c r="Q5" s="9" t="s">
        <v>66</v>
      </c>
      <c r="R5" s="9" t="s">
        <v>66</v>
      </c>
      <c r="S5" s="12"/>
      <c r="T5" s="9" t="s">
        <v>66</v>
      </c>
      <c r="U5" s="9" t="s">
        <v>66</v>
      </c>
      <c r="V5" s="9" t="s">
        <v>66</v>
      </c>
      <c r="W5" s="14"/>
      <c r="X5" s="9" t="s">
        <v>66</v>
      </c>
      <c r="Y5" s="9" t="s">
        <v>66</v>
      </c>
      <c r="Z5" s="9" t="s">
        <v>66</v>
      </c>
      <c r="AA5" s="15"/>
      <c r="AB5" s="9" t="s">
        <v>66</v>
      </c>
      <c r="AC5" s="9" t="s">
        <v>66</v>
      </c>
      <c r="AD5" s="12" t="s">
        <v>66</v>
      </c>
      <c r="AE5" s="14"/>
      <c r="AF5" s="9" t="s">
        <v>66</v>
      </c>
      <c r="AG5" s="9" t="s">
        <v>66</v>
      </c>
      <c r="AH5" s="9" t="s">
        <v>66</v>
      </c>
      <c r="AI5" s="14"/>
      <c r="AK5" s="9" t="s">
        <v>66</v>
      </c>
      <c r="AL5" s="9" t="s">
        <v>66</v>
      </c>
      <c r="AM5" s="14"/>
      <c r="AN5" s="9" t="s">
        <v>66</v>
      </c>
      <c r="AO5" s="9" t="s">
        <v>66</v>
      </c>
      <c r="AP5" s="14"/>
      <c r="AR5" s="9" t="s">
        <v>66</v>
      </c>
      <c r="AS5" s="9" t="s">
        <v>66</v>
      </c>
      <c r="AT5" s="14"/>
      <c r="AU5" s="9" t="s">
        <v>66</v>
      </c>
      <c r="AV5" s="9" t="s">
        <v>66</v>
      </c>
      <c r="AW5" s="16"/>
      <c r="AX5" s="15"/>
      <c r="AY5" s="9" t="s">
        <v>66</v>
      </c>
      <c r="AZ5" s="9" t="s">
        <v>66</v>
      </c>
      <c r="BA5" s="12"/>
      <c r="BB5" s="14"/>
      <c r="BD5" s="9" t="s">
        <v>66</v>
      </c>
      <c r="BF5" s="14"/>
      <c r="BG5" s="9" t="s">
        <v>66</v>
      </c>
      <c r="BH5" s="9" t="s">
        <v>66</v>
      </c>
      <c r="BI5" s="9" t="s">
        <v>66</v>
      </c>
      <c r="BJ5" s="14"/>
      <c r="BK5" s="12"/>
      <c r="BN5" s="14"/>
      <c r="BR5" s="14"/>
      <c r="BU5" s="9" t="s">
        <v>66</v>
      </c>
      <c r="BV5" s="14"/>
      <c r="BW5" s="9" t="s">
        <v>66</v>
      </c>
      <c r="BZ5" s="14"/>
      <c r="CD5" s="14"/>
      <c r="CF5" s="9">
        <v>42.7</v>
      </c>
      <c r="CG5" s="9">
        <v>158</v>
      </c>
    </row>
    <row r="6" spans="1:85" x14ac:dyDescent="0.3">
      <c r="A6" s="1" t="s">
        <v>69</v>
      </c>
      <c r="B6" s="10">
        <f>COUNTA(Tabella15[[#This Row],[25.8]:[30.11]])</f>
        <v>27</v>
      </c>
      <c r="C6" s="11" t="s">
        <v>66</v>
      </c>
      <c r="D6" s="11" t="s">
        <v>66</v>
      </c>
      <c r="E6" s="17"/>
      <c r="F6" s="11" t="s">
        <v>66</v>
      </c>
      <c r="G6" s="11" t="s">
        <v>66</v>
      </c>
      <c r="J6" s="13"/>
      <c r="L6" s="9" t="s">
        <v>66</v>
      </c>
      <c r="N6" s="9" t="s">
        <v>66</v>
      </c>
      <c r="O6" s="12"/>
      <c r="P6" s="9" t="s">
        <v>66</v>
      </c>
      <c r="Q6" s="9" t="s">
        <v>66</v>
      </c>
      <c r="R6" s="9" t="s">
        <v>66</v>
      </c>
      <c r="S6" s="12"/>
      <c r="T6" s="9" t="s">
        <v>66</v>
      </c>
      <c r="U6" s="9" t="s">
        <v>66</v>
      </c>
      <c r="V6" s="9" t="s">
        <v>66</v>
      </c>
      <c r="W6" s="14"/>
      <c r="X6" s="9" t="s">
        <v>66</v>
      </c>
      <c r="Y6" s="9" t="s">
        <v>66</v>
      </c>
      <c r="Z6" s="9" t="s">
        <v>66</v>
      </c>
      <c r="AA6" s="15"/>
      <c r="AE6" s="14"/>
      <c r="AF6" s="9" t="s">
        <v>66</v>
      </c>
      <c r="AG6" s="9" t="s">
        <v>66</v>
      </c>
      <c r="AH6" s="9" t="s">
        <v>66</v>
      </c>
      <c r="AI6" s="14"/>
      <c r="AJ6" s="9" t="s">
        <v>66</v>
      </c>
      <c r="AK6" s="9" t="s">
        <v>66</v>
      </c>
      <c r="AL6" s="9" t="s">
        <v>66</v>
      </c>
      <c r="AM6" s="14"/>
      <c r="AN6" s="9" t="s">
        <v>68</v>
      </c>
      <c r="AP6" s="14"/>
      <c r="AR6" s="9" t="s">
        <v>66</v>
      </c>
      <c r="AS6" s="9" t="s">
        <v>66</v>
      </c>
      <c r="AT6" s="14"/>
      <c r="AV6" s="9" t="s">
        <v>66</v>
      </c>
      <c r="AW6" s="16"/>
      <c r="AX6" s="15"/>
      <c r="BA6" s="12"/>
      <c r="BB6" s="14"/>
      <c r="BD6" s="9" t="s">
        <v>66</v>
      </c>
      <c r="BE6" s="9" t="s">
        <v>66</v>
      </c>
      <c r="BF6" s="14"/>
      <c r="BI6" s="9" t="s">
        <v>66</v>
      </c>
      <c r="BJ6" s="14"/>
      <c r="BK6" s="12"/>
      <c r="BL6" s="9" t="s">
        <v>66</v>
      </c>
      <c r="BM6" s="9" t="s">
        <v>66</v>
      </c>
      <c r="BN6" s="14"/>
      <c r="BP6" s="9" t="s">
        <v>66</v>
      </c>
      <c r="BQ6" s="9" t="s">
        <v>66</v>
      </c>
      <c r="BR6" s="14"/>
      <c r="BV6" s="14"/>
      <c r="BW6" s="9" t="s">
        <v>66</v>
      </c>
      <c r="BZ6" s="14"/>
      <c r="CD6" s="14"/>
    </row>
    <row r="7" spans="1:85" x14ac:dyDescent="0.3">
      <c r="A7" s="1" t="s">
        <v>70</v>
      </c>
      <c r="B7" s="10">
        <f>COUNTA(Tabella15[[#This Row],[25.8]:[30.11]])</f>
        <v>27</v>
      </c>
      <c r="C7" s="11" t="s">
        <v>66</v>
      </c>
      <c r="D7" s="11" t="s">
        <v>66</v>
      </c>
      <c r="E7" s="17"/>
      <c r="F7" s="11" t="s">
        <v>66</v>
      </c>
      <c r="G7" s="11" t="s">
        <v>66</v>
      </c>
      <c r="J7" s="13"/>
      <c r="N7" s="9" t="s">
        <v>66</v>
      </c>
      <c r="O7" s="12"/>
      <c r="P7" s="9" t="s">
        <v>66</v>
      </c>
      <c r="Q7" s="9" t="s">
        <v>66</v>
      </c>
      <c r="R7" s="9" t="s">
        <v>66</v>
      </c>
      <c r="S7" s="12"/>
      <c r="U7" s="9" t="s">
        <v>66</v>
      </c>
      <c r="V7" s="9" t="s">
        <v>66</v>
      </c>
      <c r="W7" s="14"/>
      <c r="X7" s="9" t="s">
        <v>66</v>
      </c>
      <c r="Y7" s="9" t="s">
        <v>66</v>
      </c>
      <c r="Z7" s="9" t="s">
        <v>66</v>
      </c>
      <c r="AA7" s="15"/>
      <c r="AB7" s="9" t="s">
        <v>66</v>
      </c>
      <c r="AC7" s="9" t="s">
        <v>66</v>
      </c>
      <c r="AD7" s="9" t="s">
        <v>66</v>
      </c>
      <c r="AE7" s="14"/>
      <c r="AF7" s="9" t="s">
        <v>66</v>
      </c>
      <c r="AH7" s="9" t="s">
        <v>66</v>
      </c>
      <c r="AI7" s="14"/>
      <c r="AJ7" s="9" t="s">
        <v>66</v>
      </c>
      <c r="AK7" s="9" t="s">
        <v>66</v>
      </c>
      <c r="AL7" s="9" t="s">
        <v>66</v>
      </c>
      <c r="AM7" s="14"/>
      <c r="AN7" s="9" t="s">
        <v>66</v>
      </c>
      <c r="AO7" s="9" t="s">
        <v>66</v>
      </c>
      <c r="AP7" s="14"/>
      <c r="AR7" s="9" t="s">
        <v>66</v>
      </c>
      <c r="AS7" s="9" t="s">
        <v>66</v>
      </c>
      <c r="AT7" s="14"/>
      <c r="AW7" s="16"/>
      <c r="AX7" s="15"/>
      <c r="BA7" s="12"/>
      <c r="BB7" s="14"/>
      <c r="BD7" s="9" t="s">
        <v>66</v>
      </c>
      <c r="BE7" s="9" t="s">
        <v>66</v>
      </c>
      <c r="BF7" s="14"/>
      <c r="BI7" s="9" t="s">
        <v>66</v>
      </c>
      <c r="BJ7" s="14"/>
      <c r="BK7" s="12"/>
      <c r="BL7" s="9" t="s">
        <v>66</v>
      </c>
      <c r="BM7" s="9" t="s">
        <v>66</v>
      </c>
      <c r="BN7" s="14"/>
      <c r="BP7" s="9" t="s">
        <v>66</v>
      </c>
      <c r="BQ7" s="9" t="s">
        <v>66</v>
      </c>
      <c r="BR7" s="14"/>
      <c r="BV7" s="14"/>
      <c r="BW7" s="9" t="s">
        <v>66</v>
      </c>
      <c r="BZ7" s="14"/>
      <c r="CD7" s="14"/>
    </row>
    <row r="8" spans="1:85" x14ac:dyDescent="0.3">
      <c r="A8" s="1" t="s">
        <v>71</v>
      </c>
      <c r="B8" s="10">
        <f>COUNTA(Tabella15[[#This Row],[25.8]:[30.11]])</f>
        <v>34</v>
      </c>
      <c r="C8" s="11" t="s">
        <v>66</v>
      </c>
      <c r="D8" s="11" t="s">
        <v>66</v>
      </c>
      <c r="E8" s="17"/>
      <c r="F8" s="11" t="s">
        <v>66</v>
      </c>
      <c r="G8" s="11" t="s">
        <v>66</v>
      </c>
      <c r="J8" s="13"/>
      <c r="L8" s="9" t="s">
        <v>66</v>
      </c>
      <c r="N8" s="9" t="s">
        <v>66</v>
      </c>
      <c r="O8" s="12"/>
      <c r="P8" s="9" t="s">
        <v>66</v>
      </c>
      <c r="Q8" s="9" t="s">
        <v>66</v>
      </c>
      <c r="R8" s="9" t="s">
        <v>66</v>
      </c>
      <c r="S8" s="12"/>
      <c r="T8" s="9" t="s">
        <v>66</v>
      </c>
      <c r="U8" s="9" t="s">
        <v>66</v>
      </c>
      <c r="V8" s="9" t="s">
        <v>66</v>
      </c>
      <c r="W8" s="14"/>
      <c r="X8" s="9" t="s">
        <v>66</v>
      </c>
      <c r="Y8" s="9" t="s">
        <v>66</v>
      </c>
      <c r="Z8" s="9" t="s">
        <v>66</v>
      </c>
      <c r="AA8" s="15"/>
      <c r="AB8" s="9" t="s">
        <v>66</v>
      </c>
      <c r="AC8" s="9" t="s">
        <v>66</v>
      </c>
      <c r="AD8" s="9" t="s">
        <v>66</v>
      </c>
      <c r="AE8" s="14"/>
      <c r="AF8" s="9" t="s">
        <v>68</v>
      </c>
      <c r="AG8" s="9" t="s">
        <v>66</v>
      </c>
      <c r="AH8" s="9" t="s">
        <v>66</v>
      </c>
      <c r="AI8" s="14"/>
      <c r="AJ8" s="9" t="s">
        <v>66</v>
      </c>
      <c r="AK8" s="9" t="s">
        <v>66</v>
      </c>
      <c r="AL8" s="9" t="s">
        <v>66</v>
      </c>
      <c r="AM8" s="14"/>
      <c r="AN8" s="9" t="s">
        <v>68</v>
      </c>
      <c r="AO8" s="9" t="s">
        <v>66</v>
      </c>
      <c r="AP8" s="14"/>
      <c r="AQ8" s="9" t="s">
        <v>66</v>
      </c>
      <c r="AR8" s="9" t="s">
        <v>66</v>
      </c>
      <c r="AS8" s="9" t="s">
        <v>66</v>
      </c>
      <c r="AT8" s="14"/>
      <c r="AV8" s="9" t="s">
        <v>66</v>
      </c>
      <c r="AW8" s="16"/>
      <c r="AX8" s="15"/>
      <c r="AY8" s="9" t="s">
        <v>66</v>
      </c>
      <c r="AZ8" s="9" t="s">
        <v>66</v>
      </c>
      <c r="BA8" s="12"/>
      <c r="BB8" s="14"/>
      <c r="BD8" s="9" t="s">
        <v>66</v>
      </c>
      <c r="BE8" s="9" t="s">
        <v>66</v>
      </c>
      <c r="BF8" s="14"/>
      <c r="BG8" s="9" t="s">
        <v>66</v>
      </c>
      <c r="BH8" s="9" t="s">
        <v>66</v>
      </c>
      <c r="BI8" s="9" t="s">
        <v>66</v>
      </c>
      <c r="BJ8" s="14"/>
      <c r="BK8" s="12"/>
      <c r="BL8" s="9" t="s">
        <v>66</v>
      </c>
      <c r="BM8" s="9" t="s">
        <v>66</v>
      </c>
      <c r="BN8" s="14"/>
      <c r="BO8" s="9" t="s">
        <v>66</v>
      </c>
      <c r="BP8" s="9" t="s">
        <v>66</v>
      </c>
      <c r="BQ8" s="9" t="s">
        <v>66</v>
      </c>
      <c r="BR8" s="14"/>
      <c r="BS8" s="9" t="s">
        <v>66</v>
      </c>
      <c r="BT8" s="9" t="s">
        <v>66</v>
      </c>
      <c r="BU8" s="9" t="s">
        <v>66</v>
      </c>
      <c r="BV8" s="14"/>
      <c r="BW8" s="9" t="s">
        <v>66</v>
      </c>
      <c r="BZ8" s="14"/>
      <c r="CD8" s="14"/>
      <c r="CF8" s="9">
        <v>39.6</v>
      </c>
      <c r="CG8" s="9">
        <v>156</v>
      </c>
    </row>
    <row r="9" spans="1:85" x14ac:dyDescent="0.3">
      <c r="A9" s="1" t="s">
        <v>72</v>
      </c>
      <c r="B9" s="10">
        <f>COUNTA(Tabella15[[#This Row],[25.8]:[30.11]])</f>
        <v>34</v>
      </c>
      <c r="C9" s="11" t="s">
        <v>66</v>
      </c>
      <c r="D9" s="11" t="s">
        <v>66</v>
      </c>
      <c r="E9" s="17"/>
      <c r="F9" s="11" t="s">
        <v>66</v>
      </c>
      <c r="G9" s="11" t="s">
        <v>66</v>
      </c>
      <c r="H9" s="9" t="s">
        <v>66</v>
      </c>
      <c r="I9" s="9" t="s">
        <v>66</v>
      </c>
      <c r="J9" s="13" t="s">
        <v>66</v>
      </c>
      <c r="K9" s="9" t="s">
        <v>66</v>
      </c>
      <c r="L9" s="9" t="s">
        <v>66</v>
      </c>
      <c r="N9" s="9" t="s">
        <v>66</v>
      </c>
      <c r="O9" s="12"/>
      <c r="P9" s="9" t="s">
        <v>66</v>
      </c>
      <c r="Q9" s="9" t="s">
        <v>66</v>
      </c>
      <c r="R9" s="9" t="s">
        <v>66</v>
      </c>
      <c r="S9" s="12"/>
      <c r="U9" s="9" t="s">
        <v>66</v>
      </c>
      <c r="V9" s="9" t="s">
        <v>66</v>
      </c>
      <c r="W9" s="14"/>
      <c r="X9" s="9" t="s">
        <v>66</v>
      </c>
      <c r="Z9" s="9" t="s">
        <v>66</v>
      </c>
      <c r="AA9" s="15"/>
      <c r="AD9" s="9" t="s">
        <v>66</v>
      </c>
      <c r="AE9" s="14"/>
      <c r="AG9" s="9" t="s">
        <v>66</v>
      </c>
      <c r="AH9" s="9" t="s">
        <v>66</v>
      </c>
      <c r="AI9" s="14"/>
      <c r="AJ9" s="9" t="s">
        <v>66</v>
      </c>
      <c r="AK9" s="9" t="s">
        <v>66</v>
      </c>
      <c r="AL9" s="9" t="s">
        <v>66</v>
      </c>
      <c r="AM9" s="14"/>
      <c r="AN9" s="9" t="s">
        <v>66</v>
      </c>
      <c r="AO9" s="9" t="s">
        <v>66</v>
      </c>
      <c r="AP9" s="14"/>
      <c r="AQ9" s="9" t="s">
        <v>66</v>
      </c>
      <c r="AR9" s="9" t="s">
        <v>66</v>
      </c>
      <c r="AS9" s="9" t="s">
        <v>66</v>
      </c>
      <c r="AT9" s="14"/>
      <c r="AU9" s="9" t="s">
        <v>66</v>
      </c>
      <c r="AV9" s="9" t="s">
        <v>66</v>
      </c>
      <c r="AW9" s="16"/>
      <c r="AX9" s="15"/>
      <c r="AY9" s="9" t="s">
        <v>66</v>
      </c>
      <c r="AZ9" s="9" t="s">
        <v>66</v>
      </c>
      <c r="BA9" s="12"/>
      <c r="BB9" s="14"/>
      <c r="BD9" s="9" t="s">
        <v>66</v>
      </c>
      <c r="BE9" s="9" t="s">
        <v>66</v>
      </c>
      <c r="BF9" s="14"/>
      <c r="BG9" s="9" t="s">
        <v>66</v>
      </c>
      <c r="BH9" s="9" t="s">
        <v>66</v>
      </c>
      <c r="BI9" s="9" t="s">
        <v>66</v>
      </c>
      <c r="BJ9" s="14"/>
      <c r="BK9" s="12"/>
      <c r="BL9" s="9" t="s">
        <v>66</v>
      </c>
      <c r="BM9" s="9" t="s">
        <v>66</v>
      </c>
      <c r="BN9" s="14"/>
      <c r="BO9" s="9" t="s">
        <v>66</v>
      </c>
      <c r="BP9" s="9" t="s">
        <v>66</v>
      </c>
      <c r="BQ9" s="9" t="s">
        <v>66</v>
      </c>
      <c r="BR9" s="14"/>
      <c r="BT9" s="9" t="s">
        <v>66</v>
      </c>
      <c r="BU9" s="9" t="s">
        <v>66</v>
      </c>
      <c r="BV9" s="14"/>
      <c r="BW9" s="9" t="s">
        <v>66</v>
      </c>
      <c r="BZ9" s="14"/>
      <c r="CD9" s="14"/>
      <c r="CF9" s="9">
        <v>41.5</v>
      </c>
      <c r="CG9" s="9">
        <v>154</v>
      </c>
    </row>
    <row r="10" spans="1:85" x14ac:dyDescent="0.3">
      <c r="A10" s="1" t="s">
        <v>73</v>
      </c>
      <c r="B10" s="10">
        <f>COUNTA(Tabella15[[#This Row],[25.8]:[30.11]])</f>
        <v>34</v>
      </c>
      <c r="C10" s="11" t="s">
        <v>66</v>
      </c>
      <c r="D10" s="11" t="s">
        <v>66</v>
      </c>
      <c r="E10" s="17"/>
      <c r="F10" s="11" t="s">
        <v>66</v>
      </c>
      <c r="G10" s="11" t="s">
        <v>66</v>
      </c>
      <c r="H10" s="9" t="s">
        <v>66</v>
      </c>
      <c r="I10" s="9" t="s">
        <v>66</v>
      </c>
      <c r="J10" s="13" t="s">
        <v>66</v>
      </c>
      <c r="K10" s="9" t="s">
        <v>66</v>
      </c>
      <c r="N10" s="9" t="s">
        <v>66</v>
      </c>
      <c r="O10" s="12"/>
      <c r="P10" s="9" t="s">
        <v>66</v>
      </c>
      <c r="Q10" s="9" t="s">
        <v>66</v>
      </c>
      <c r="R10" s="9" t="s">
        <v>66</v>
      </c>
      <c r="S10" s="12"/>
      <c r="T10" s="9" t="s">
        <v>66</v>
      </c>
      <c r="U10" s="9" t="s">
        <v>66</v>
      </c>
      <c r="V10" s="9" t="s">
        <v>66</v>
      </c>
      <c r="W10" s="14"/>
      <c r="X10" s="9" t="s">
        <v>66</v>
      </c>
      <c r="Y10" s="9" t="s">
        <v>66</v>
      </c>
      <c r="AA10" s="15"/>
      <c r="AB10" s="9" t="s">
        <v>66</v>
      </c>
      <c r="AC10" s="9" t="s">
        <v>66</v>
      </c>
      <c r="AD10" s="9" t="s">
        <v>66</v>
      </c>
      <c r="AE10" s="14"/>
      <c r="AG10" s="9" t="s">
        <v>66</v>
      </c>
      <c r="AH10" s="9" t="s">
        <v>66</v>
      </c>
      <c r="AI10" s="14"/>
      <c r="AJ10" s="9" t="s">
        <v>66</v>
      </c>
      <c r="AK10" s="9" t="s">
        <v>66</v>
      </c>
      <c r="AL10" s="9" t="s">
        <v>66</v>
      </c>
      <c r="AM10" s="14"/>
      <c r="AN10" s="9" t="s">
        <v>66</v>
      </c>
      <c r="AO10" s="9" t="s">
        <v>66</v>
      </c>
      <c r="AP10" s="14"/>
      <c r="AQ10" s="9" t="s">
        <v>66</v>
      </c>
      <c r="AR10" s="9" t="s">
        <v>66</v>
      </c>
      <c r="AT10" s="14"/>
      <c r="AU10" s="9" t="s">
        <v>66</v>
      </c>
      <c r="AV10" s="9" t="s">
        <v>66</v>
      </c>
      <c r="AW10" s="16"/>
      <c r="AX10" s="15"/>
      <c r="AZ10" s="9" t="s">
        <v>66</v>
      </c>
      <c r="BA10" s="12"/>
      <c r="BB10" s="14"/>
      <c r="BD10" s="9" t="s">
        <v>66</v>
      </c>
      <c r="BE10" s="9" t="s">
        <v>66</v>
      </c>
      <c r="BF10" s="14"/>
      <c r="BG10" s="9" t="s">
        <v>66</v>
      </c>
      <c r="BH10" s="9" t="s">
        <v>66</v>
      </c>
      <c r="BI10" s="9" t="s">
        <v>66</v>
      </c>
      <c r="BJ10" s="14"/>
      <c r="BK10" s="12"/>
      <c r="BL10" s="9" t="s">
        <v>66</v>
      </c>
      <c r="BM10" s="9" t="s">
        <v>66</v>
      </c>
      <c r="BN10" s="14"/>
      <c r="BO10" s="9" t="s">
        <v>66</v>
      </c>
      <c r="BP10" s="9" t="s">
        <v>66</v>
      </c>
      <c r="BQ10" s="9" t="s">
        <v>66</v>
      </c>
      <c r="BR10" s="14"/>
      <c r="BS10" s="9" t="s">
        <v>66</v>
      </c>
      <c r="BV10" s="14"/>
      <c r="BW10" s="9" t="s">
        <v>66</v>
      </c>
      <c r="BZ10" s="14"/>
      <c r="CD10" s="14"/>
    </row>
    <row r="11" spans="1:85" x14ac:dyDescent="0.3">
      <c r="A11" s="1" t="s">
        <v>74</v>
      </c>
      <c r="B11" s="10">
        <f>COUNTA(Tabella15[[#This Row],[25.8]:[30.11]])</f>
        <v>36</v>
      </c>
      <c r="C11" s="11" t="s">
        <v>66</v>
      </c>
      <c r="D11" s="11" t="s">
        <v>66</v>
      </c>
      <c r="E11" s="17"/>
      <c r="F11" s="11" t="s">
        <v>66</v>
      </c>
      <c r="G11" s="11" t="s">
        <v>66</v>
      </c>
      <c r="H11" s="9" t="s">
        <v>66</v>
      </c>
      <c r="I11" s="9" t="s">
        <v>66</v>
      </c>
      <c r="J11" s="13" t="s">
        <v>66</v>
      </c>
      <c r="K11" s="9" t="s">
        <v>66</v>
      </c>
      <c r="L11" s="9" t="s">
        <v>66</v>
      </c>
      <c r="N11" s="9" t="s">
        <v>66</v>
      </c>
      <c r="O11" s="12"/>
      <c r="P11" s="9" t="s">
        <v>66</v>
      </c>
      <c r="Q11" s="9" t="s">
        <v>66</v>
      </c>
      <c r="R11" s="9" t="s">
        <v>66</v>
      </c>
      <c r="S11" s="12"/>
      <c r="V11" s="9" t="s">
        <v>66</v>
      </c>
      <c r="W11" s="14"/>
      <c r="X11" s="9" t="s">
        <v>66</v>
      </c>
      <c r="Y11" s="9" t="s">
        <v>66</v>
      </c>
      <c r="Z11" s="9" t="s">
        <v>66</v>
      </c>
      <c r="AA11" s="15"/>
      <c r="AB11" s="9" t="s">
        <v>66</v>
      </c>
      <c r="AC11" s="9" t="s">
        <v>66</v>
      </c>
      <c r="AD11" s="9" t="s">
        <v>66</v>
      </c>
      <c r="AE11" s="14"/>
      <c r="AF11" s="9" t="s">
        <v>66</v>
      </c>
      <c r="AG11" s="9" t="s">
        <v>66</v>
      </c>
      <c r="AH11" s="9" t="s">
        <v>66</v>
      </c>
      <c r="AI11" s="14"/>
      <c r="AJ11" s="9" t="s">
        <v>66</v>
      </c>
      <c r="AK11" s="9" t="s">
        <v>66</v>
      </c>
      <c r="AL11" s="9" t="s">
        <v>66</v>
      </c>
      <c r="AM11" s="14"/>
      <c r="AN11" s="9" t="s">
        <v>66</v>
      </c>
      <c r="AO11" s="9" t="s">
        <v>66</v>
      </c>
      <c r="AP11" s="14"/>
      <c r="AQ11" s="9" t="s">
        <v>66</v>
      </c>
      <c r="AR11" s="9" t="s">
        <v>66</v>
      </c>
      <c r="AS11" s="9" t="s">
        <v>66</v>
      </c>
      <c r="AT11" s="14"/>
      <c r="AU11" s="9" t="s">
        <v>66</v>
      </c>
      <c r="AV11" s="9" t="s">
        <v>66</v>
      </c>
      <c r="AW11" s="16"/>
      <c r="AX11" s="15"/>
      <c r="AZ11" s="9" t="s">
        <v>66</v>
      </c>
      <c r="BA11" s="12"/>
      <c r="BB11" s="14"/>
      <c r="BD11" s="9" t="s">
        <v>66</v>
      </c>
      <c r="BE11" s="9" t="s">
        <v>66</v>
      </c>
      <c r="BF11" s="14"/>
      <c r="BG11" s="9" t="s">
        <v>66</v>
      </c>
      <c r="BH11" s="9" t="s">
        <v>66</v>
      </c>
      <c r="BI11" s="9" t="s">
        <v>66</v>
      </c>
      <c r="BJ11" s="14"/>
      <c r="BK11" s="12"/>
      <c r="BL11" s="9" t="s">
        <v>66</v>
      </c>
      <c r="BM11" s="9" t="s">
        <v>66</v>
      </c>
      <c r="BN11" s="14"/>
      <c r="BO11" s="9" t="s">
        <v>66</v>
      </c>
      <c r="BP11" s="9" t="s">
        <v>66</v>
      </c>
      <c r="BQ11" s="9" t="s">
        <v>66</v>
      </c>
      <c r="BR11" s="14"/>
      <c r="BT11" s="9" t="s">
        <v>66</v>
      </c>
      <c r="BU11" s="9" t="s">
        <v>66</v>
      </c>
      <c r="BV11" s="14"/>
      <c r="BW11" s="9" t="s">
        <v>66</v>
      </c>
      <c r="BZ11" s="14"/>
      <c r="CD11" s="14"/>
      <c r="CF11" s="9">
        <v>47.9</v>
      </c>
      <c r="CG11" s="9">
        <v>159</v>
      </c>
    </row>
    <row r="12" spans="1:85" x14ac:dyDescent="0.3">
      <c r="A12" s="1" t="s">
        <v>75</v>
      </c>
      <c r="B12" s="10">
        <f>COUNTA(Tabella15[[#This Row],[25.8]:[30.11]])</f>
        <v>37</v>
      </c>
      <c r="C12" s="11" t="s">
        <v>66</v>
      </c>
      <c r="D12" s="11" t="s">
        <v>66</v>
      </c>
      <c r="E12" s="17"/>
      <c r="F12" s="11" t="s">
        <v>66</v>
      </c>
      <c r="G12" s="11" t="s">
        <v>66</v>
      </c>
      <c r="H12" s="9" t="s">
        <v>66</v>
      </c>
      <c r="I12" s="9" t="s">
        <v>66</v>
      </c>
      <c r="J12" s="13" t="s">
        <v>66</v>
      </c>
      <c r="K12" s="9" t="s">
        <v>66</v>
      </c>
      <c r="L12" s="9" t="s">
        <v>66</v>
      </c>
      <c r="N12" s="9" t="s">
        <v>66</v>
      </c>
      <c r="O12" s="12"/>
      <c r="P12" s="9" t="s">
        <v>66</v>
      </c>
      <c r="Q12" s="9" t="s">
        <v>66</v>
      </c>
      <c r="R12" s="9" t="s">
        <v>66</v>
      </c>
      <c r="S12" s="12"/>
      <c r="V12" s="9" t="s">
        <v>66</v>
      </c>
      <c r="W12" s="14"/>
      <c r="X12" s="9" t="s">
        <v>66</v>
      </c>
      <c r="Y12" s="9" t="s">
        <v>66</v>
      </c>
      <c r="Z12" s="9" t="s">
        <v>66</v>
      </c>
      <c r="AA12" s="15"/>
      <c r="AB12" s="9" t="s">
        <v>66</v>
      </c>
      <c r="AC12" s="9" t="s">
        <v>66</v>
      </c>
      <c r="AD12" s="9" t="s">
        <v>66</v>
      </c>
      <c r="AE12" s="14"/>
      <c r="AF12" s="9" t="s">
        <v>66</v>
      </c>
      <c r="AG12" s="9" t="s">
        <v>66</v>
      </c>
      <c r="AH12" s="9" t="s">
        <v>66</v>
      </c>
      <c r="AI12" s="14"/>
      <c r="AJ12" s="9" t="s">
        <v>66</v>
      </c>
      <c r="AK12" s="12" t="s">
        <v>66</v>
      </c>
      <c r="AL12" s="9" t="s">
        <v>66</v>
      </c>
      <c r="AM12" s="14"/>
      <c r="AN12" s="9" t="s">
        <v>66</v>
      </c>
      <c r="AO12" s="9" t="s">
        <v>66</v>
      </c>
      <c r="AP12" s="14"/>
      <c r="AQ12" s="9" t="s">
        <v>66</v>
      </c>
      <c r="AR12" s="9" t="s">
        <v>66</v>
      </c>
      <c r="AS12" s="9" t="s">
        <v>66</v>
      </c>
      <c r="AT12" s="14"/>
      <c r="AU12" s="9" t="s">
        <v>66</v>
      </c>
      <c r="AV12" s="9" t="s">
        <v>66</v>
      </c>
      <c r="AW12" s="16"/>
      <c r="AX12" s="15"/>
      <c r="AY12" s="9" t="s">
        <v>66</v>
      </c>
      <c r="AZ12" s="9" t="s">
        <v>66</v>
      </c>
      <c r="BA12" s="12"/>
      <c r="BB12" s="14"/>
      <c r="BD12" s="9" t="s">
        <v>66</v>
      </c>
      <c r="BE12" s="9" t="s">
        <v>66</v>
      </c>
      <c r="BF12" s="14"/>
      <c r="BG12" s="9" t="s">
        <v>66</v>
      </c>
      <c r="BH12" s="9" t="s">
        <v>66</v>
      </c>
      <c r="BI12" s="9" t="s">
        <v>66</v>
      </c>
      <c r="BJ12" s="14"/>
      <c r="BK12" s="12"/>
      <c r="BL12" s="9" t="s">
        <v>66</v>
      </c>
      <c r="BM12" s="9" t="s">
        <v>66</v>
      </c>
      <c r="BN12" s="14"/>
      <c r="BQ12" s="9" t="s">
        <v>66</v>
      </c>
      <c r="BR12" s="14"/>
      <c r="BS12" s="9" t="s">
        <v>66</v>
      </c>
      <c r="BT12" s="9" t="s">
        <v>66</v>
      </c>
      <c r="BU12" s="9" t="s">
        <v>66</v>
      </c>
      <c r="BV12" s="14"/>
      <c r="BW12" s="9" t="s">
        <v>66</v>
      </c>
      <c r="BZ12" s="14"/>
      <c r="CD12" s="14"/>
      <c r="CF12" s="9">
        <v>77.400000000000006</v>
      </c>
      <c r="CG12" s="9">
        <v>159</v>
      </c>
    </row>
    <row r="13" spans="1:85" x14ac:dyDescent="0.3">
      <c r="A13" s="1" t="s">
        <v>76</v>
      </c>
      <c r="B13" s="10">
        <f>COUNTA(Tabella15[[#This Row],[25.8]:[30.11]])</f>
        <v>38</v>
      </c>
      <c r="C13" s="11" t="s">
        <v>66</v>
      </c>
      <c r="D13" s="11" t="s">
        <v>66</v>
      </c>
      <c r="E13" s="17"/>
      <c r="F13" s="11" t="s">
        <v>66</v>
      </c>
      <c r="G13" s="11" t="s">
        <v>66</v>
      </c>
      <c r="H13" s="9" t="s">
        <v>66</v>
      </c>
      <c r="I13" s="9" t="s">
        <v>66</v>
      </c>
      <c r="J13" s="13" t="s">
        <v>66</v>
      </c>
      <c r="K13" s="9" t="s">
        <v>66</v>
      </c>
      <c r="L13" s="9" t="s">
        <v>66</v>
      </c>
      <c r="N13" s="9" t="s">
        <v>66</v>
      </c>
      <c r="O13" s="12"/>
      <c r="P13" s="9" t="s">
        <v>66</v>
      </c>
      <c r="Q13" s="9" t="s">
        <v>66</v>
      </c>
      <c r="R13" s="9" t="s">
        <v>66</v>
      </c>
      <c r="S13" s="12"/>
      <c r="T13" s="9" t="s">
        <v>66</v>
      </c>
      <c r="U13" s="9" t="s">
        <v>66</v>
      </c>
      <c r="V13" s="9" t="s">
        <v>66</v>
      </c>
      <c r="W13" s="14"/>
      <c r="X13" s="9" t="s">
        <v>66</v>
      </c>
      <c r="Z13" s="9" t="s">
        <v>66</v>
      </c>
      <c r="AA13" s="15"/>
      <c r="AB13" s="9" t="s">
        <v>66</v>
      </c>
      <c r="AC13" s="9" t="s">
        <v>66</v>
      </c>
      <c r="AD13" s="9" t="s">
        <v>66</v>
      </c>
      <c r="AE13" s="14"/>
      <c r="AF13" s="9" t="s">
        <v>66</v>
      </c>
      <c r="AG13" s="9" t="s">
        <v>66</v>
      </c>
      <c r="AH13" s="9" t="s">
        <v>66</v>
      </c>
      <c r="AI13" s="14"/>
      <c r="AJ13" s="9" t="s">
        <v>66</v>
      </c>
      <c r="AK13" s="12" t="s">
        <v>66</v>
      </c>
      <c r="AL13" s="9" t="s">
        <v>66</v>
      </c>
      <c r="AM13" s="14"/>
      <c r="AN13" s="9" t="s">
        <v>66</v>
      </c>
      <c r="AO13" s="9" t="s">
        <v>66</v>
      </c>
      <c r="AP13" s="14"/>
      <c r="AQ13" s="9" t="s">
        <v>66</v>
      </c>
      <c r="AR13" s="9" t="s">
        <v>66</v>
      </c>
      <c r="AS13" s="9" t="s">
        <v>66</v>
      </c>
      <c r="AT13" s="14"/>
      <c r="AU13" s="9" t="s">
        <v>66</v>
      </c>
      <c r="AV13" s="9" t="s">
        <v>66</v>
      </c>
      <c r="AW13" s="16"/>
      <c r="AX13" s="15"/>
      <c r="AY13" s="9" t="s">
        <v>66</v>
      </c>
      <c r="AZ13" s="9" t="s">
        <v>66</v>
      </c>
      <c r="BA13" s="12"/>
      <c r="BB13" s="14"/>
      <c r="BD13" s="9" t="s">
        <v>66</v>
      </c>
      <c r="BE13" s="9" t="s">
        <v>66</v>
      </c>
      <c r="BF13" s="14"/>
      <c r="BG13" s="9" t="s">
        <v>66</v>
      </c>
      <c r="BH13" s="9" t="s">
        <v>66</v>
      </c>
      <c r="BI13" s="9" t="s">
        <v>66</v>
      </c>
      <c r="BJ13" s="14"/>
      <c r="BK13" s="12"/>
      <c r="BL13" s="9" t="s">
        <v>66</v>
      </c>
      <c r="BM13" s="9" t="s">
        <v>66</v>
      </c>
      <c r="BN13" s="14"/>
      <c r="BO13" s="9" t="s">
        <v>66</v>
      </c>
      <c r="BP13" s="9" t="s">
        <v>66</v>
      </c>
      <c r="BQ13" s="9" t="s">
        <v>66</v>
      </c>
      <c r="BR13" s="14"/>
      <c r="BS13" s="9" t="s">
        <v>66</v>
      </c>
      <c r="BT13" s="9" t="s">
        <v>66</v>
      </c>
      <c r="BU13" s="9" t="s">
        <v>66</v>
      </c>
      <c r="BV13" s="14"/>
      <c r="BW13" s="9" t="s">
        <v>66</v>
      </c>
      <c r="BZ13" s="14"/>
      <c r="CD13" s="14"/>
      <c r="CF13" s="9">
        <v>43.2</v>
      </c>
      <c r="CG13" s="9">
        <v>158</v>
      </c>
    </row>
    <row r="14" spans="1:85" x14ac:dyDescent="0.3">
      <c r="A14" s="1" t="s">
        <v>77</v>
      </c>
      <c r="B14" s="10">
        <f>COUNTA(Tabella15[[#This Row],[25.8]:[30.11]])</f>
        <v>37</v>
      </c>
      <c r="C14" s="11" t="s">
        <v>66</v>
      </c>
      <c r="D14" s="11" t="s">
        <v>66</v>
      </c>
      <c r="E14" s="17"/>
      <c r="F14" s="11" t="s">
        <v>66</v>
      </c>
      <c r="G14" s="11" t="s">
        <v>66</v>
      </c>
      <c r="H14" s="9" t="s">
        <v>66</v>
      </c>
      <c r="I14" s="9" t="s">
        <v>66</v>
      </c>
      <c r="J14" s="13" t="s">
        <v>66</v>
      </c>
      <c r="K14" s="9" t="s">
        <v>66</v>
      </c>
      <c r="L14" s="9" t="s">
        <v>66</v>
      </c>
      <c r="N14" s="9" t="s">
        <v>66</v>
      </c>
      <c r="O14" s="12"/>
      <c r="P14" s="9" t="s">
        <v>66</v>
      </c>
      <c r="Q14" s="9" t="s">
        <v>66</v>
      </c>
      <c r="R14" s="9" t="s">
        <v>66</v>
      </c>
      <c r="S14" s="12"/>
      <c r="U14" s="9" t="s">
        <v>66</v>
      </c>
      <c r="V14" s="9" t="s">
        <v>66</v>
      </c>
      <c r="W14" s="14"/>
      <c r="X14" s="9" t="s">
        <v>66</v>
      </c>
      <c r="Y14" s="9" t="s">
        <v>66</v>
      </c>
      <c r="Z14" s="9" t="s">
        <v>66</v>
      </c>
      <c r="AA14" s="15"/>
      <c r="AB14" s="9" t="s">
        <v>66</v>
      </c>
      <c r="AC14" s="9" t="s">
        <v>66</v>
      </c>
      <c r="AD14" s="9" t="s">
        <v>66</v>
      </c>
      <c r="AE14" s="14"/>
      <c r="AF14" s="12" t="s">
        <v>66</v>
      </c>
      <c r="AG14" s="9" t="s">
        <v>66</v>
      </c>
      <c r="AH14" s="9" t="s">
        <v>66</v>
      </c>
      <c r="AI14" s="14"/>
      <c r="AJ14" s="9" t="s">
        <v>66</v>
      </c>
      <c r="AK14" s="9" t="s">
        <v>66</v>
      </c>
      <c r="AL14" s="9" t="s">
        <v>66</v>
      </c>
      <c r="AM14" s="14"/>
      <c r="AN14" s="9" t="s">
        <v>66</v>
      </c>
      <c r="AO14" s="9" t="s">
        <v>66</v>
      </c>
      <c r="AP14" s="14"/>
      <c r="AQ14" s="9" t="s">
        <v>66</v>
      </c>
      <c r="AR14" s="9" t="s">
        <v>66</v>
      </c>
      <c r="AS14" s="9" t="s">
        <v>66</v>
      </c>
      <c r="AT14" s="14"/>
      <c r="AU14" s="9" t="s">
        <v>66</v>
      </c>
      <c r="AV14" s="9" t="s">
        <v>66</v>
      </c>
      <c r="AW14" s="16"/>
      <c r="AX14" s="15"/>
      <c r="AZ14" s="9" t="s">
        <v>66</v>
      </c>
      <c r="BA14" s="12"/>
      <c r="BB14" s="14"/>
      <c r="BD14" s="9" t="s">
        <v>66</v>
      </c>
      <c r="BE14" s="9" t="s">
        <v>66</v>
      </c>
      <c r="BF14" s="14"/>
      <c r="BJ14" s="14"/>
      <c r="BK14" s="12"/>
      <c r="BM14" s="9" t="s">
        <v>66</v>
      </c>
      <c r="BN14" s="14"/>
      <c r="BO14" s="9" t="s">
        <v>66</v>
      </c>
      <c r="BP14" s="9" t="s">
        <v>66</v>
      </c>
      <c r="BQ14" s="9" t="s">
        <v>66</v>
      </c>
      <c r="BR14" s="14"/>
      <c r="BS14" s="9" t="s">
        <v>66</v>
      </c>
      <c r="BU14" s="9" t="s">
        <v>66</v>
      </c>
      <c r="BV14" s="14"/>
      <c r="BW14" s="9" t="s">
        <v>66</v>
      </c>
      <c r="BZ14" s="14"/>
      <c r="CD14" s="14"/>
    </row>
    <row r="15" spans="1:85" x14ac:dyDescent="0.3">
      <c r="A15" s="1" t="s">
        <v>129</v>
      </c>
      <c r="B15" s="10">
        <f>COUNTA(Tabella15[[#This Row],[25.8]:[30.11]])</f>
        <v>38</v>
      </c>
      <c r="C15" s="11" t="s">
        <v>66</v>
      </c>
      <c r="D15" s="9" t="s">
        <v>66</v>
      </c>
      <c r="E15" s="12"/>
      <c r="F15" s="9" t="s">
        <v>66</v>
      </c>
      <c r="G15" s="9" t="s">
        <v>66</v>
      </c>
      <c r="H15" s="9" t="s">
        <v>66</v>
      </c>
      <c r="I15" s="9" t="s">
        <v>66</v>
      </c>
      <c r="J15" s="13" t="s">
        <v>66</v>
      </c>
      <c r="K15" s="9" t="s">
        <v>66</v>
      </c>
      <c r="L15" s="9" t="s">
        <v>66</v>
      </c>
      <c r="N15" s="9" t="s">
        <v>66</v>
      </c>
      <c r="O15" s="12"/>
      <c r="P15" s="9" t="s">
        <v>66</v>
      </c>
      <c r="Q15" s="9" t="s">
        <v>66</v>
      </c>
      <c r="R15" s="9" t="s">
        <v>66</v>
      </c>
      <c r="S15" s="12"/>
      <c r="T15" s="9" t="s">
        <v>66</v>
      </c>
      <c r="U15" s="9" t="s">
        <v>66</v>
      </c>
      <c r="V15" s="9" t="s">
        <v>66</v>
      </c>
      <c r="W15" s="14"/>
      <c r="X15" s="9" t="s">
        <v>66</v>
      </c>
      <c r="Z15" s="9" t="s">
        <v>66</v>
      </c>
      <c r="AA15" s="15"/>
      <c r="AB15" s="9" t="s">
        <v>66</v>
      </c>
      <c r="AC15" s="9" t="s">
        <v>66</v>
      </c>
      <c r="AD15" s="9" t="s">
        <v>66</v>
      </c>
      <c r="AE15" s="14"/>
      <c r="AF15" s="9" t="s">
        <v>66</v>
      </c>
      <c r="AG15" s="9" t="s">
        <v>66</v>
      </c>
      <c r="AH15" s="9" t="s">
        <v>66</v>
      </c>
      <c r="AI15" s="14"/>
      <c r="AJ15" s="9" t="s">
        <v>66</v>
      </c>
      <c r="AK15" s="9" t="s">
        <v>66</v>
      </c>
      <c r="AL15" s="9" t="s">
        <v>66</v>
      </c>
      <c r="AM15" s="14"/>
      <c r="AN15" s="9" t="s">
        <v>66</v>
      </c>
      <c r="AO15" s="9" t="s">
        <v>66</v>
      </c>
      <c r="AP15" s="14"/>
      <c r="AQ15" s="9" t="s">
        <v>66</v>
      </c>
      <c r="AR15" s="9" t="s">
        <v>66</v>
      </c>
      <c r="AS15" s="9" t="s">
        <v>66</v>
      </c>
      <c r="AT15" s="14"/>
      <c r="AU15" s="9" t="s">
        <v>66</v>
      </c>
      <c r="AV15" s="9" t="s">
        <v>66</v>
      </c>
      <c r="AW15" s="16"/>
      <c r="AX15" s="15"/>
      <c r="AY15" s="9" t="s">
        <v>66</v>
      </c>
      <c r="AZ15" s="9" t="s">
        <v>66</v>
      </c>
      <c r="BA15" s="12"/>
      <c r="BB15" s="14"/>
      <c r="BD15" s="9" t="s">
        <v>66</v>
      </c>
      <c r="BE15" s="9" t="s">
        <v>66</v>
      </c>
      <c r="BF15" s="14"/>
      <c r="BG15" s="9" t="s">
        <v>66</v>
      </c>
      <c r="BH15" s="9" t="s">
        <v>66</v>
      </c>
      <c r="BI15" s="9" t="s">
        <v>66</v>
      </c>
      <c r="BJ15" s="14"/>
      <c r="BK15" s="12"/>
      <c r="BL15" s="9" t="s">
        <v>66</v>
      </c>
      <c r="BM15" s="9" t="s">
        <v>66</v>
      </c>
      <c r="BN15" s="14"/>
      <c r="BO15" s="9" t="s">
        <v>66</v>
      </c>
      <c r="BP15" s="9" t="s">
        <v>66</v>
      </c>
      <c r="BQ15" s="9" t="s">
        <v>66</v>
      </c>
      <c r="BR15" s="14"/>
      <c r="BS15" s="9" t="s">
        <v>66</v>
      </c>
      <c r="BT15" s="9" t="s">
        <v>66</v>
      </c>
      <c r="BU15" s="9" t="s">
        <v>66</v>
      </c>
      <c r="BV15" s="14"/>
      <c r="BW15" s="9" t="s">
        <v>66</v>
      </c>
      <c r="BZ15" s="14"/>
      <c r="CD15" s="14"/>
      <c r="CF15" s="9">
        <v>36</v>
      </c>
      <c r="CG15" s="9">
        <v>146</v>
      </c>
    </row>
    <row r="16" spans="1:85" x14ac:dyDescent="0.3">
      <c r="A16" s="1" t="s">
        <v>78</v>
      </c>
      <c r="B16" s="10">
        <f>COUNTA(Tabella15[[#This Row],[25.8]:[30.11]])</f>
        <v>39</v>
      </c>
      <c r="C16" s="11" t="s">
        <v>66</v>
      </c>
      <c r="D16" s="11" t="s">
        <v>66</v>
      </c>
      <c r="E16" s="17"/>
      <c r="F16" s="11" t="s">
        <v>66</v>
      </c>
      <c r="G16" s="11" t="s">
        <v>66</v>
      </c>
      <c r="H16" s="9" t="s">
        <v>66</v>
      </c>
      <c r="I16" s="9" t="s">
        <v>66</v>
      </c>
      <c r="J16" s="13" t="s">
        <v>66</v>
      </c>
      <c r="K16" s="9" t="s">
        <v>66</v>
      </c>
      <c r="L16" s="9" t="s">
        <v>66</v>
      </c>
      <c r="N16" s="9" t="s">
        <v>66</v>
      </c>
      <c r="O16" s="12"/>
      <c r="P16" s="9" t="s">
        <v>66</v>
      </c>
      <c r="Q16" s="9" t="s">
        <v>66</v>
      </c>
      <c r="R16" s="9" t="s">
        <v>66</v>
      </c>
      <c r="S16" s="12"/>
      <c r="T16" s="9" t="s">
        <v>66</v>
      </c>
      <c r="U16" s="9" t="s">
        <v>66</v>
      </c>
      <c r="V16" s="9" t="s">
        <v>66</v>
      </c>
      <c r="W16" s="14"/>
      <c r="X16" s="9" t="s">
        <v>66</v>
      </c>
      <c r="Y16" s="9" t="s">
        <v>66</v>
      </c>
      <c r="Z16" s="9" t="s">
        <v>66</v>
      </c>
      <c r="AA16" s="15"/>
      <c r="AB16" s="9" t="s">
        <v>66</v>
      </c>
      <c r="AC16" s="9" t="s">
        <v>66</v>
      </c>
      <c r="AD16" s="9" t="s">
        <v>66</v>
      </c>
      <c r="AE16" s="14"/>
      <c r="AF16" s="9" t="s">
        <v>66</v>
      </c>
      <c r="AG16" s="9" t="s">
        <v>66</v>
      </c>
      <c r="AH16" s="9" t="s">
        <v>66</v>
      </c>
      <c r="AI16" s="14"/>
      <c r="AJ16" s="9" t="s">
        <v>66</v>
      </c>
      <c r="AK16" s="9" t="s">
        <v>66</v>
      </c>
      <c r="AL16" s="9" t="s">
        <v>66</v>
      </c>
      <c r="AM16" s="14"/>
      <c r="AN16" s="9" t="s">
        <v>66</v>
      </c>
      <c r="AO16" s="9" t="s">
        <v>66</v>
      </c>
      <c r="AP16" s="14"/>
      <c r="AQ16" s="9" t="s">
        <v>66</v>
      </c>
      <c r="AR16" s="9" t="s">
        <v>66</v>
      </c>
      <c r="AS16" s="9" t="s">
        <v>66</v>
      </c>
      <c r="AT16" s="14"/>
      <c r="AU16" s="9" t="s">
        <v>66</v>
      </c>
      <c r="AV16" s="9" t="s">
        <v>66</v>
      </c>
      <c r="AW16" s="16"/>
      <c r="AX16" s="15"/>
      <c r="AY16" s="9" t="s">
        <v>66</v>
      </c>
      <c r="AZ16" s="9" t="s">
        <v>66</v>
      </c>
      <c r="BA16" s="12"/>
      <c r="BB16" s="14"/>
      <c r="BD16" s="9" t="s">
        <v>66</v>
      </c>
      <c r="BE16" s="9" t="s">
        <v>66</v>
      </c>
      <c r="BF16" s="14"/>
      <c r="BG16" s="9" t="s">
        <v>66</v>
      </c>
      <c r="BH16" s="9" t="s">
        <v>66</v>
      </c>
      <c r="BI16" s="9" t="s">
        <v>66</v>
      </c>
      <c r="BJ16" s="14"/>
      <c r="BK16" s="12"/>
      <c r="BL16" s="9" t="s">
        <v>66</v>
      </c>
      <c r="BM16" s="9" t="s">
        <v>66</v>
      </c>
      <c r="BN16" s="14"/>
      <c r="BO16" s="9" t="s">
        <v>66</v>
      </c>
      <c r="BP16" s="9" t="s">
        <v>66</v>
      </c>
      <c r="BQ16" s="9" t="s">
        <v>66</v>
      </c>
      <c r="BR16" s="14"/>
      <c r="BS16" s="9" t="s">
        <v>66</v>
      </c>
      <c r="BT16" s="9" t="s">
        <v>66</v>
      </c>
      <c r="BU16" s="9" t="s">
        <v>66</v>
      </c>
      <c r="BV16" s="14"/>
      <c r="BW16" s="9" t="s">
        <v>66</v>
      </c>
      <c r="BZ16" s="14"/>
      <c r="CD16" s="14"/>
      <c r="CF16" s="9">
        <v>47.7</v>
      </c>
      <c r="CG16" s="9">
        <v>156</v>
      </c>
    </row>
    <row r="17" spans="1:85" x14ac:dyDescent="0.3">
      <c r="AD17" s="18"/>
      <c r="CE17" s="9" t="s">
        <v>127</v>
      </c>
      <c r="CF17" s="9">
        <v>48.9</v>
      </c>
      <c r="CG17" s="9">
        <v>148</v>
      </c>
    </row>
    <row r="18" spans="1:85" x14ac:dyDescent="0.3">
      <c r="A18" s="3" t="s">
        <v>7</v>
      </c>
      <c r="B18" s="4" t="s">
        <v>8</v>
      </c>
      <c r="C18" s="5" t="s">
        <v>9</v>
      </c>
      <c r="D18" s="5" t="s">
        <v>10</v>
      </c>
      <c r="E18" s="5" t="s">
        <v>11</v>
      </c>
      <c r="F18" s="5" t="s">
        <v>12</v>
      </c>
      <c r="G18" s="5" t="s">
        <v>13</v>
      </c>
      <c r="H18" s="5" t="s">
        <v>14</v>
      </c>
      <c r="I18" s="5" t="s">
        <v>15</v>
      </c>
      <c r="J18" s="5" t="s">
        <v>16</v>
      </c>
      <c r="K18" s="5" t="s">
        <v>17</v>
      </c>
      <c r="L18" s="5" t="s">
        <v>18</v>
      </c>
      <c r="M18" s="5" t="s">
        <v>19</v>
      </c>
      <c r="N18" s="5" t="s">
        <v>20</v>
      </c>
      <c r="O18" s="5" t="s">
        <v>21</v>
      </c>
      <c r="P18" s="5" t="s">
        <v>22</v>
      </c>
      <c r="Q18" s="5" t="s">
        <v>23</v>
      </c>
      <c r="R18" s="5" t="s">
        <v>24</v>
      </c>
      <c r="S18" s="5" t="s">
        <v>25</v>
      </c>
      <c r="T18" s="5" t="s">
        <v>26</v>
      </c>
      <c r="U18" s="5" t="s">
        <v>27</v>
      </c>
      <c r="V18" s="5" t="s">
        <v>28</v>
      </c>
      <c r="W18" s="5" t="s">
        <v>29</v>
      </c>
      <c r="X18" s="5" t="s">
        <v>30</v>
      </c>
      <c r="Y18" s="5" t="s">
        <v>31</v>
      </c>
      <c r="Z18" s="5" t="s">
        <v>32</v>
      </c>
      <c r="AA18" s="6" t="s">
        <v>33</v>
      </c>
      <c r="AB18" s="5" t="s">
        <v>34</v>
      </c>
      <c r="AC18" s="5" t="s">
        <v>35</v>
      </c>
      <c r="AD18" s="5" t="s">
        <v>36</v>
      </c>
      <c r="AE18" s="7" t="s">
        <v>37</v>
      </c>
      <c r="AF18" s="5" t="s">
        <v>38</v>
      </c>
      <c r="AG18" s="5" t="s">
        <v>39</v>
      </c>
      <c r="AH18" s="5" t="s">
        <v>40</v>
      </c>
      <c r="AI18" s="7" t="s">
        <v>41</v>
      </c>
      <c r="AJ18" s="5" t="s">
        <v>42</v>
      </c>
      <c r="AK18" s="5" t="s">
        <v>43</v>
      </c>
      <c r="AL18" s="5" t="s">
        <v>44</v>
      </c>
      <c r="AM18" s="7" t="s">
        <v>45</v>
      </c>
      <c r="AN18" s="5" t="s">
        <v>46</v>
      </c>
      <c r="AO18" s="5" t="s">
        <v>47</v>
      </c>
      <c r="AP18" s="7" t="s">
        <v>48</v>
      </c>
      <c r="AQ18" s="5" t="s">
        <v>49</v>
      </c>
      <c r="AR18" s="5" t="s">
        <v>50</v>
      </c>
      <c r="AS18" s="5" t="s">
        <v>51</v>
      </c>
      <c r="AT18" s="7" t="s">
        <v>52</v>
      </c>
      <c r="AU18" s="5" t="s">
        <v>53</v>
      </c>
      <c r="AV18" s="5" t="s">
        <v>54</v>
      </c>
      <c r="AW18" s="5" t="s">
        <v>55</v>
      </c>
      <c r="AX18" s="7" t="s">
        <v>56</v>
      </c>
      <c r="AY18" s="5" t="s">
        <v>57</v>
      </c>
      <c r="AZ18" s="5" t="s">
        <v>58</v>
      </c>
      <c r="BA18" s="5" t="s">
        <v>59</v>
      </c>
      <c r="BB18" s="7" t="s">
        <v>60</v>
      </c>
      <c r="BC18" s="5" t="s">
        <v>61</v>
      </c>
      <c r="BD18" s="5" t="s">
        <v>62</v>
      </c>
      <c r="BE18" s="5" t="s">
        <v>63</v>
      </c>
      <c r="BF18" s="7" t="s">
        <v>64</v>
      </c>
      <c r="BG18" s="5" t="s">
        <v>83</v>
      </c>
      <c r="BH18" s="5" t="s">
        <v>84</v>
      </c>
      <c r="BI18" s="5" t="s">
        <v>85</v>
      </c>
      <c r="BJ18" s="7" t="s">
        <v>86</v>
      </c>
      <c r="BK18" s="5" t="s">
        <v>87</v>
      </c>
      <c r="BL18" s="5" t="s">
        <v>88</v>
      </c>
      <c r="BM18" s="5" t="s">
        <v>89</v>
      </c>
      <c r="BN18" s="7" t="s">
        <v>90</v>
      </c>
      <c r="BO18" s="5" t="s">
        <v>91</v>
      </c>
      <c r="BP18" s="5" t="s">
        <v>92</v>
      </c>
      <c r="BQ18" s="5" t="s">
        <v>93</v>
      </c>
      <c r="BR18" s="7" t="s">
        <v>94</v>
      </c>
      <c r="BS18" s="5" t="s">
        <v>95</v>
      </c>
      <c r="BT18" s="5" t="s">
        <v>96</v>
      </c>
      <c r="BU18" s="5" t="s">
        <v>97</v>
      </c>
      <c r="BV18" s="7" t="s">
        <v>98</v>
      </c>
      <c r="BW18" s="5" t="s">
        <v>99</v>
      </c>
      <c r="BX18" s="5" t="s">
        <v>100</v>
      </c>
      <c r="BY18" s="5" t="s">
        <v>122</v>
      </c>
      <c r="BZ18" s="7" t="s">
        <v>121</v>
      </c>
      <c r="CA18" s="27" t="s">
        <v>120</v>
      </c>
      <c r="CB18" s="5" t="s">
        <v>119</v>
      </c>
      <c r="CC18" s="5" t="s">
        <v>118</v>
      </c>
      <c r="CD18" s="7" t="s">
        <v>117</v>
      </c>
    </row>
    <row r="19" spans="1:85" x14ac:dyDescent="0.3">
      <c r="A19" s="19" t="s">
        <v>79</v>
      </c>
      <c r="B19" s="10">
        <f>COUNTA(Tabella2[[#This Row],[25.8]:[30.11]])</f>
        <v>14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 t="s">
        <v>66</v>
      </c>
      <c r="U19" s="20"/>
      <c r="V19" s="20"/>
      <c r="W19" s="20"/>
      <c r="X19" s="20" t="s">
        <v>66</v>
      </c>
      <c r="Y19" s="20"/>
      <c r="Z19" s="20"/>
      <c r="AA19" s="20"/>
      <c r="AB19" s="20" t="s">
        <v>66</v>
      </c>
      <c r="AC19" s="20"/>
      <c r="AD19" s="20"/>
      <c r="AE19" s="20"/>
      <c r="AF19" s="20" t="s">
        <v>66</v>
      </c>
      <c r="AG19" s="20"/>
      <c r="AH19" s="20"/>
      <c r="AI19" s="20"/>
      <c r="AJ19" s="20" t="s">
        <v>66</v>
      </c>
      <c r="AK19" s="20"/>
      <c r="AL19" s="20"/>
      <c r="AM19" s="21"/>
      <c r="AN19" s="22" t="s">
        <v>66</v>
      </c>
      <c r="AO19" s="22" t="s">
        <v>66</v>
      </c>
      <c r="AP19" s="22"/>
      <c r="AQ19" s="20" t="s">
        <v>66</v>
      </c>
      <c r="AR19" s="22" t="s">
        <v>66</v>
      </c>
      <c r="AS19" s="22"/>
      <c r="AT19" s="22"/>
      <c r="AU19" s="22" t="s">
        <v>66</v>
      </c>
      <c r="AV19" s="22" t="s">
        <v>66</v>
      </c>
      <c r="AW19" s="22"/>
      <c r="AX19" s="22"/>
      <c r="AY19" s="22" t="s">
        <v>66</v>
      </c>
      <c r="AZ19" s="22" t="s">
        <v>66</v>
      </c>
      <c r="BA19" s="22"/>
      <c r="BB19" s="22"/>
      <c r="BC19" s="22"/>
      <c r="BD19" s="22" t="s">
        <v>66</v>
      </c>
      <c r="BE19" s="22"/>
      <c r="BF19" s="22"/>
      <c r="BG19" s="22" t="s">
        <v>66</v>
      </c>
      <c r="BH19" s="22" t="s">
        <v>66</v>
      </c>
      <c r="BI19" s="22"/>
      <c r="BJ19" s="22"/>
      <c r="BK19" s="22"/>
      <c r="BL19" s="22"/>
      <c r="BM19" s="22"/>
      <c r="BN19" s="22"/>
      <c r="BO19" s="22" t="s">
        <v>66</v>
      </c>
      <c r="BP19" s="22" t="s">
        <v>66</v>
      </c>
      <c r="BQ19" s="22"/>
      <c r="BR19" s="22"/>
      <c r="BS19" s="22" t="s">
        <v>66</v>
      </c>
      <c r="BT19" s="22"/>
      <c r="BU19" s="22"/>
      <c r="BV19" s="22"/>
      <c r="BW19" s="22" t="s">
        <v>66</v>
      </c>
      <c r="BX19" s="22"/>
      <c r="BY19" s="22"/>
      <c r="BZ19" s="22"/>
      <c r="CA19" s="22"/>
      <c r="CB19" s="22" t="s">
        <v>66</v>
      </c>
      <c r="CC19" s="22" t="s">
        <v>66</v>
      </c>
      <c r="CD19" s="22"/>
    </row>
    <row r="20" spans="1:85" x14ac:dyDescent="0.3">
      <c r="A20" s="23" t="s">
        <v>80</v>
      </c>
      <c r="B20" s="10">
        <f>COUNTA(Tabella2[[#This Row],[25.8]:[30.11]])</f>
        <v>22</v>
      </c>
      <c r="C20" s="24" t="s">
        <v>66</v>
      </c>
      <c r="D20" s="24" t="s">
        <v>66</v>
      </c>
      <c r="E20" s="24"/>
      <c r="F20" s="24" t="s">
        <v>66</v>
      </c>
      <c r="G20" s="24" t="s">
        <v>66</v>
      </c>
      <c r="H20" s="24" t="s">
        <v>66</v>
      </c>
      <c r="I20" s="24" t="s">
        <v>66</v>
      </c>
      <c r="J20" s="24" t="s">
        <v>66</v>
      </c>
      <c r="K20" s="24" t="s">
        <v>66</v>
      </c>
      <c r="L20" s="24" t="s">
        <v>66</v>
      </c>
      <c r="M20" s="24"/>
      <c r="N20" s="24" t="s">
        <v>66</v>
      </c>
      <c r="O20" s="24"/>
      <c r="P20" s="24" t="s">
        <v>66</v>
      </c>
      <c r="Q20" s="24" t="s">
        <v>66</v>
      </c>
      <c r="R20" s="24" t="s">
        <v>66</v>
      </c>
      <c r="S20" s="24"/>
      <c r="T20" s="24" t="s">
        <v>66</v>
      </c>
      <c r="U20" s="24"/>
      <c r="V20" s="24"/>
      <c r="W20" s="24"/>
      <c r="X20" s="24" t="s">
        <v>66</v>
      </c>
      <c r="Y20" s="24"/>
      <c r="Z20" s="24"/>
      <c r="AA20" s="24"/>
      <c r="AB20" s="24" t="s">
        <v>66</v>
      </c>
      <c r="AC20" s="24"/>
      <c r="AD20" s="24"/>
      <c r="AE20" s="24"/>
      <c r="AF20" s="24" t="s">
        <v>66</v>
      </c>
      <c r="AG20" s="24" t="s">
        <v>66</v>
      </c>
      <c r="AH20" s="24"/>
      <c r="AI20" s="24"/>
      <c r="AJ20" s="24" t="s">
        <v>66</v>
      </c>
      <c r="AK20" s="24"/>
      <c r="AL20" s="24"/>
      <c r="AM20" s="25"/>
      <c r="AN20" s="20" t="s">
        <v>66</v>
      </c>
      <c r="AO20" s="20"/>
      <c r="AP20" s="20"/>
      <c r="AQ20" s="24"/>
      <c r="AR20" s="20"/>
      <c r="AS20" s="20"/>
      <c r="AT20" s="20"/>
      <c r="AU20" s="20" t="s">
        <v>66</v>
      </c>
      <c r="AV20" s="20"/>
      <c r="AW20" s="20"/>
      <c r="AX20" s="20"/>
      <c r="AY20" s="20" t="s">
        <v>66</v>
      </c>
      <c r="AZ20" s="20"/>
      <c r="BA20" s="20"/>
      <c r="BB20" s="20"/>
      <c r="BC20" s="20"/>
      <c r="BD20" s="20"/>
      <c r="BE20" s="20"/>
      <c r="BF20" s="20"/>
      <c r="BG20" s="20" t="s">
        <v>66</v>
      </c>
      <c r="BH20" s="20"/>
      <c r="BI20" s="20"/>
      <c r="BJ20" s="20"/>
      <c r="BK20" s="20"/>
      <c r="BL20" s="20"/>
      <c r="BM20" s="20"/>
      <c r="BN20" s="20"/>
      <c r="BO20" s="20" t="s">
        <v>66</v>
      </c>
      <c r="BP20" s="20"/>
      <c r="BQ20" s="20"/>
      <c r="BR20" s="20"/>
      <c r="BS20" s="20" t="s">
        <v>66</v>
      </c>
      <c r="BT20" s="20" t="s">
        <v>66</v>
      </c>
      <c r="BU20" s="20"/>
      <c r="BV20" s="20"/>
      <c r="BW20" s="20"/>
      <c r="BX20" s="20"/>
      <c r="BY20" s="20"/>
      <c r="BZ20" s="20"/>
      <c r="CA20" s="20" t="s">
        <v>66</v>
      </c>
      <c r="CB20" s="20"/>
      <c r="CC20" s="20"/>
      <c r="CD20" s="20"/>
    </row>
    <row r="21" spans="1:85" x14ac:dyDescent="0.3">
      <c r="A21" s="23" t="s">
        <v>81</v>
      </c>
      <c r="B21" s="26">
        <f>COUNTA(Tabella2[[#This Row],[25.8]:[30.11]])</f>
        <v>26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 t="s">
        <v>66</v>
      </c>
      <c r="O21" s="24"/>
      <c r="P21" s="24" t="s">
        <v>66</v>
      </c>
      <c r="Q21" s="24" t="s">
        <v>66</v>
      </c>
      <c r="R21" s="24" t="s">
        <v>66</v>
      </c>
      <c r="S21" s="24"/>
      <c r="T21" s="24" t="s">
        <v>66</v>
      </c>
      <c r="U21" s="24" t="s">
        <v>66</v>
      </c>
      <c r="V21" s="24" t="s">
        <v>66</v>
      </c>
      <c r="W21" s="24"/>
      <c r="X21" s="24" t="s">
        <v>66</v>
      </c>
      <c r="Y21" s="24" t="s">
        <v>66</v>
      </c>
      <c r="Z21" s="24"/>
      <c r="AA21" s="24"/>
      <c r="AB21" s="24"/>
      <c r="AC21" s="24"/>
      <c r="AD21" s="24"/>
      <c r="AE21" s="24"/>
      <c r="AF21" s="24" t="s">
        <v>66</v>
      </c>
      <c r="AG21" s="24" t="s">
        <v>66</v>
      </c>
      <c r="AH21" s="24" t="s">
        <v>66</v>
      </c>
      <c r="AI21" s="24"/>
      <c r="AJ21" s="24" t="s">
        <v>66</v>
      </c>
      <c r="AK21" s="24" t="s">
        <v>66</v>
      </c>
      <c r="AL21" s="24" t="s">
        <v>66</v>
      </c>
      <c r="AM21" s="25"/>
      <c r="AN21" s="20" t="s">
        <v>66</v>
      </c>
      <c r="AO21" s="20" t="s">
        <v>66</v>
      </c>
      <c r="AP21" s="20"/>
      <c r="AQ21" s="24" t="s">
        <v>66</v>
      </c>
      <c r="AR21" s="20" t="s">
        <v>66</v>
      </c>
      <c r="AS21" s="20" t="s">
        <v>66</v>
      </c>
      <c r="AT21" s="20"/>
      <c r="AU21" s="20" t="s">
        <v>66</v>
      </c>
      <c r="AV21" s="20" t="s">
        <v>66</v>
      </c>
      <c r="AW21" s="20"/>
      <c r="AX21" s="20"/>
      <c r="AY21" s="20" t="s">
        <v>66</v>
      </c>
      <c r="AZ21" s="20" t="s">
        <v>66</v>
      </c>
      <c r="BA21" s="20"/>
      <c r="BB21" s="20"/>
      <c r="BC21" s="20"/>
      <c r="BD21" s="20" t="s">
        <v>66</v>
      </c>
      <c r="BE21" s="20" t="s">
        <v>66</v>
      </c>
      <c r="BF21" s="20"/>
      <c r="BG21" s="20" t="s">
        <v>66</v>
      </c>
      <c r="BH21" s="20" t="s">
        <v>66</v>
      </c>
      <c r="BI21" s="20" t="s">
        <v>66</v>
      </c>
      <c r="BJ21" s="20"/>
      <c r="BK21" s="20"/>
      <c r="BL21" s="20" t="s">
        <v>66</v>
      </c>
      <c r="BM21" s="20" t="s">
        <v>66</v>
      </c>
      <c r="BN21" s="20"/>
      <c r="BO21" s="20"/>
      <c r="BP21" s="20" t="s">
        <v>66</v>
      </c>
      <c r="BQ21" s="20" t="s">
        <v>66</v>
      </c>
      <c r="BR21" s="20"/>
      <c r="BS21" s="20" t="s">
        <v>66</v>
      </c>
      <c r="BT21" s="20" t="s">
        <v>66</v>
      </c>
      <c r="BU21" s="20" t="s">
        <v>66</v>
      </c>
      <c r="BV21" s="20"/>
      <c r="BW21" s="20" t="s">
        <v>66</v>
      </c>
      <c r="BX21" s="20" t="s">
        <v>66</v>
      </c>
      <c r="BY21" s="20" t="s">
        <v>66</v>
      </c>
      <c r="BZ21" s="20"/>
      <c r="CA21" s="20" t="s">
        <v>66</v>
      </c>
      <c r="CB21" s="20" t="s">
        <v>66</v>
      </c>
      <c r="CC21" s="20" t="s">
        <v>66</v>
      </c>
      <c r="CD21" s="20"/>
    </row>
    <row r="22" spans="1:85" x14ac:dyDescent="0.3">
      <c r="A22" s="23" t="s">
        <v>82</v>
      </c>
      <c r="B22" s="26">
        <f>COUNTA(Tabella2[[#This Row],[25.8]:[30.11]])</f>
        <v>37</v>
      </c>
      <c r="C22" s="24" t="s">
        <v>66</v>
      </c>
      <c r="D22" s="24" t="s">
        <v>66</v>
      </c>
      <c r="E22" s="24"/>
      <c r="F22" s="24" t="s">
        <v>66</v>
      </c>
      <c r="G22" s="24" t="s">
        <v>66</v>
      </c>
      <c r="H22" s="24" t="s">
        <v>66</v>
      </c>
      <c r="I22" s="24" t="s">
        <v>66</v>
      </c>
      <c r="J22" s="24" t="s">
        <v>66</v>
      </c>
      <c r="K22" s="24" t="s">
        <v>66</v>
      </c>
      <c r="L22" s="24" t="s">
        <v>66</v>
      </c>
      <c r="M22" s="24"/>
      <c r="N22" s="24" t="s">
        <v>66</v>
      </c>
      <c r="O22" s="24"/>
      <c r="P22" s="24" t="s">
        <v>66</v>
      </c>
      <c r="Q22" s="24" t="s">
        <v>66</v>
      </c>
      <c r="R22" s="24" t="s">
        <v>66</v>
      </c>
      <c r="S22" s="24"/>
      <c r="T22" s="24" t="s">
        <v>66</v>
      </c>
      <c r="U22" s="24" t="s">
        <v>66</v>
      </c>
      <c r="V22" s="24" t="s">
        <v>66</v>
      </c>
      <c r="W22" s="24"/>
      <c r="X22" s="24" t="s">
        <v>66</v>
      </c>
      <c r="Y22" s="24" t="s">
        <v>66</v>
      </c>
      <c r="Z22" s="24" t="s">
        <v>66</v>
      </c>
      <c r="AA22" s="24"/>
      <c r="AB22" s="24" t="s">
        <v>66</v>
      </c>
      <c r="AC22" s="24" t="s">
        <v>66</v>
      </c>
      <c r="AD22" s="24" t="s">
        <v>66</v>
      </c>
      <c r="AE22" s="24"/>
      <c r="AF22" s="24"/>
      <c r="AG22" s="24" t="s">
        <v>66</v>
      </c>
      <c r="AH22" s="24" t="s">
        <v>66</v>
      </c>
      <c r="AI22" s="24"/>
      <c r="AJ22" s="24" t="s">
        <v>66</v>
      </c>
      <c r="AK22" s="24" t="s">
        <v>66</v>
      </c>
      <c r="AL22" s="24" t="s">
        <v>66</v>
      </c>
      <c r="AM22" s="25"/>
      <c r="AN22" s="24" t="s">
        <v>66</v>
      </c>
      <c r="AO22" s="24" t="s">
        <v>66</v>
      </c>
      <c r="AP22" s="24"/>
      <c r="AQ22" s="24" t="s">
        <v>66</v>
      </c>
      <c r="AR22" s="24" t="s">
        <v>66</v>
      </c>
      <c r="AS22" s="24" t="s">
        <v>66</v>
      </c>
      <c r="AT22" s="24"/>
      <c r="AU22" s="24"/>
      <c r="AV22" s="24" t="s">
        <v>66</v>
      </c>
      <c r="AW22" s="24"/>
      <c r="AX22" s="24"/>
      <c r="AY22" s="24" t="s">
        <v>66</v>
      </c>
      <c r="AZ22" s="24" t="s">
        <v>66</v>
      </c>
      <c r="BA22" s="24"/>
      <c r="BB22" s="24"/>
      <c r="BC22" s="24"/>
      <c r="BD22" s="24" t="s">
        <v>66</v>
      </c>
      <c r="BE22" s="24" t="s">
        <v>66</v>
      </c>
      <c r="BF22" s="24"/>
      <c r="BG22" s="24" t="s">
        <v>66</v>
      </c>
      <c r="BH22" s="24" t="s">
        <v>66</v>
      </c>
      <c r="BI22" s="24" t="s">
        <v>66</v>
      </c>
      <c r="BJ22" s="24"/>
      <c r="BK22" s="24"/>
      <c r="BL22" s="24" t="s">
        <v>66</v>
      </c>
      <c r="BM22" s="24" t="s">
        <v>66</v>
      </c>
      <c r="BN22" s="24"/>
      <c r="BO22" s="24" t="s">
        <v>66</v>
      </c>
      <c r="BP22" s="24" t="s">
        <v>66</v>
      </c>
      <c r="BQ22" s="24" t="s">
        <v>66</v>
      </c>
      <c r="BR22" s="24"/>
      <c r="BS22" s="24" t="s">
        <v>66</v>
      </c>
      <c r="BT22" s="24" t="s">
        <v>66</v>
      </c>
      <c r="BU22" s="24" t="s">
        <v>66</v>
      </c>
      <c r="BV22" s="24"/>
      <c r="BW22" s="24" t="s">
        <v>66</v>
      </c>
      <c r="BX22" s="24" t="s">
        <v>66</v>
      </c>
      <c r="BY22" s="24" t="s">
        <v>66</v>
      </c>
      <c r="BZ22" s="24"/>
      <c r="CA22" s="24" t="s">
        <v>66</v>
      </c>
      <c r="CB22" s="24" t="s">
        <v>66</v>
      </c>
      <c r="CC22" s="24" t="s">
        <v>66</v>
      </c>
      <c r="CD22" s="24"/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BCEE09B-02C9-4D70-9F51-8A78AE6F7F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GIOCATORI</vt:lpstr>
      <vt:lpstr>STAFF</vt:lpstr>
      <vt:lpstr>Presenze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Benericetti</dc:creator>
  <cp:lastModifiedBy>Stefano Benericetti</cp:lastModifiedBy>
  <dcterms:created xsi:type="dcterms:W3CDTF">2025-11-26T23:06:08Z</dcterms:created>
  <dcterms:modified xsi:type="dcterms:W3CDTF">2026-01-01T14:47:02Z</dcterms:modified>
</cp:coreProperties>
</file>